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dame\Downloads\Resources\Resources\"/>
    </mc:Choice>
  </mc:AlternateContent>
  <xr:revisionPtr revIDLastSave="0" documentId="8_{5C796B1D-3240-44EF-B95A-5189AA2425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ner" sheetId="1" r:id="rId1"/>
    <sheet name="Calculations" sheetId="2" r:id="rId2"/>
    <sheet name="Support" sheetId="3" r:id="rId3"/>
    <sheet name="Detail" sheetId="4" r:id="rId4"/>
  </sheets>
  <definedNames>
    <definedName name="CurrentAge">Planner!$B$5</definedName>
    <definedName name="RetirementAges">OFFSET(Calculations!$B$2,0,0,COUNT(Calculations!$B$2:$B$67),1)</definedName>
    <definedName name="RetirementBalances">OFFSET(Calculations!$J$2,0,0,COUNT(Calculations!$B$2:$B$67),1)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G2" i="4"/>
  <c r="E2" i="4"/>
  <c r="E3" i="4" s="1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B2" i="4"/>
  <c r="A21" i="1"/>
  <c r="H2" i="2"/>
  <c r="G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3" i="2"/>
  <c r="E2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2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B2" i="2"/>
  <c r="A3" i="2"/>
  <c r="A4" i="2" s="1"/>
  <c r="A5" i="2" s="1"/>
  <c r="A6" i="2" s="1"/>
  <c r="A7" i="2" s="1"/>
  <c r="A8" i="2" s="1"/>
  <c r="A9" i="2" s="1"/>
  <c r="B3" i="2"/>
  <c r="B6" i="3"/>
  <c r="B5" i="3"/>
  <c r="H2" i="4" l="1"/>
  <c r="B3" i="4"/>
  <c r="C2" i="4"/>
  <c r="D54" i="2"/>
  <c r="F54" i="2" s="1"/>
  <c r="I54" i="2" s="1"/>
  <c r="D55" i="2"/>
  <c r="F55" i="2" s="1"/>
  <c r="I55" i="2" s="1"/>
  <c r="D56" i="2"/>
  <c r="F56" i="2" s="1"/>
  <c r="I56" i="2" s="1"/>
  <c r="D57" i="2"/>
  <c r="F57" i="2" s="1"/>
  <c r="I57" i="2" s="1"/>
  <c r="D58" i="2"/>
  <c r="F58" i="2" s="1"/>
  <c r="I58" i="2" s="1"/>
  <c r="D59" i="2"/>
  <c r="F59" i="2" s="1"/>
  <c r="I59" i="2" s="1"/>
  <c r="D60" i="2"/>
  <c r="F60" i="2" s="1"/>
  <c r="I60" i="2" s="1"/>
  <c r="D61" i="2"/>
  <c r="F61" i="2" s="1"/>
  <c r="I61" i="2" s="1"/>
  <c r="D62" i="2"/>
  <c r="F62" i="2" s="1"/>
  <c r="I62" i="2" s="1"/>
  <c r="D63" i="2"/>
  <c r="F63" i="2" s="1"/>
  <c r="I63" i="2" s="1"/>
  <c r="D64" i="2"/>
  <c r="F64" i="2" s="1"/>
  <c r="I64" i="2" s="1"/>
  <c r="D65" i="2"/>
  <c r="F65" i="2" s="1"/>
  <c r="I65" i="2" s="1"/>
  <c r="D66" i="2"/>
  <c r="F66" i="2" s="1"/>
  <c r="I66" i="2" s="1"/>
  <c r="D67" i="2"/>
  <c r="F67" i="2" s="1"/>
  <c r="I67" i="2" s="1"/>
  <c r="D2" i="2"/>
  <c r="F2" i="2" s="1"/>
  <c r="C3" i="2"/>
  <c r="C3" i="4" l="1"/>
  <c r="B4" i="4"/>
  <c r="D2" i="4"/>
  <c r="F2" i="4"/>
  <c r="J2" i="2"/>
  <c r="I2" i="2"/>
  <c r="D3" i="2"/>
  <c r="F3" i="2" s="1"/>
  <c r="I3" i="2" s="1"/>
  <c r="C4" i="2"/>
  <c r="D3" i="4" l="1"/>
  <c r="F3" i="4"/>
  <c r="I3" i="4" s="1"/>
  <c r="C4" i="4"/>
  <c r="B5" i="4"/>
  <c r="J2" i="4"/>
  <c r="I2" i="4"/>
  <c r="G3" i="2"/>
  <c r="K2" i="2"/>
  <c r="D4" i="2"/>
  <c r="F4" i="2" s="1"/>
  <c r="I4" i="2" s="1"/>
  <c r="C5" i="2"/>
  <c r="D4" i="4" l="1"/>
  <c r="F4" i="4" s="1"/>
  <c r="I4" i="4" s="1"/>
  <c r="C5" i="4"/>
  <c r="B6" i="4"/>
  <c r="G3" i="4"/>
  <c r="K2" i="4"/>
  <c r="H3" i="2"/>
  <c r="J3" i="2" s="1"/>
  <c r="D5" i="2"/>
  <c r="F5" i="2" s="1"/>
  <c r="I5" i="2" s="1"/>
  <c r="C6" i="2"/>
  <c r="D5" i="4" l="1"/>
  <c r="F5" i="4"/>
  <c r="I5" i="4" s="1"/>
  <c r="C6" i="4"/>
  <c r="B7" i="4"/>
  <c r="H3" i="4"/>
  <c r="J3" i="4" s="1"/>
  <c r="G4" i="2"/>
  <c r="K3" i="2"/>
  <c r="D6" i="2"/>
  <c r="F6" i="2" s="1"/>
  <c r="I6" i="2" s="1"/>
  <c r="C7" i="2"/>
  <c r="D6" i="4" l="1"/>
  <c r="F6" i="4"/>
  <c r="I6" i="4" s="1"/>
  <c r="C7" i="4"/>
  <c r="B8" i="4"/>
  <c r="K3" i="4"/>
  <c r="G4" i="4"/>
  <c r="H4" i="2"/>
  <c r="J4" i="2" s="1"/>
  <c r="D7" i="2"/>
  <c r="F7" i="2" s="1"/>
  <c r="I7" i="2" s="1"/>
  <c r="C8" i="2"/>
  <c r="D7" i="4" l="1"/>
  <c r="F7" i="4"/>
  <c r="I7" i="4" s="1"/>
  <c r="B9" i="4"/>
  <c r="C8" i="4"/>
  <c r="H4" i="4"/>
  <c r="J4" i="4"/>
  <c r="K4" i="2"/>
  <c r="G5" i="2"/>
  <c r="H5" i="2" s="1"/>
  <c r="J5" i="2" s="1"/>
  <c r="D8" i="2"/>
  <c r="F8" i="2" s="1"/>
  <c r="I8" i="2" s="1"/>
  <c r="C9" i="2"/>
  <c r="C9" i="4" l="1"/>
  <c r="B10" i="4"/>
  <c r="D8" i="4"/>
  <c r="F8" i="4"/>
  <c r="I8" i="4" s="1"/>
  <c r="K4" i="4"/>
  <c r="G5" i="4"/>
  <c r="K5" i="2"/>
  <c r="G6" i="2"/>
  <c r="D9" i="2"/>
  <c r="F9" i="2" s="1"/>
  <c r="I9" i="2" s="1"/>
  <c r="C10" i="2"/>
  <c r="D9" i="4" l="1"/>
  <c r="F9" i="4"/>
  <c r="I9" i="4" s="1"/>
  <c r="C10" i="4"/>
  <c r="B11" i="4"/>
  <c r="H5" i="4"/>
  <c r="J5" i="4"/>
  <c r="H6" i="2"/>
  <c r="J6" i="2" s="1"/>
  <c r="D10" i="2"/>
  <c r="F10" i="2" s="1"/>
  <c r="I10" i="2" s="1"/>
  <c r="C11" i="2"/>
  <c r="D10" i="4" l="1"/>
  <c r="F10" i="4"/>
  <c r="I10" i="4" s="1"/>
  <c r="C11" i="4"/>
  <c r="B12" i="4"/>
  <c r="G6" i="4"/>
  <c r="K5" i="4"/>
  <c r="K6" i="2"/>
  <c r="G7" i="2"/>
  <c r="D11" i="2"/>
  <c r="F11" i="2" s="1"/>
  <c r="I11" i="2" s="1"/>
  <c r="C12" i="2"/>
  <c r="D11" i="4" l="1"/>
  <c r="F11" i="4"/>
  <c r="I11" i="4" s="1"/>
  <c r="C12" i="4"/>
  <c r="B13" i="4"/>
  <c r="H6" i="4"/>
  <c r="J6" i="4" s="1"/>
  <c r="H7" i="2"/>
  <c r="J7" i="2" s="1"/>
  <c r="D12" i="2"/>
  <c r="F12" i="2" s="1"/>
  <c r="I12" i="2" s="1"/>
  <c r="C13" i="2"/>
  <c r="D12" i="4" l="1"/>
  <c r="F12" i="4"/>
  <c r="I12" i="4" s="1"/>
  <c r="C13" i="4"/>
  <c r="B14" i="4"/>
  <c r="G7" i="4"/>
  <c r="K6" i="4"/>
  <c r="K7" i="2"/>
  <c r="G8" i="2"/>
  <c r="D13" i="2"/>
  <c r="F13" i="2" s="1"/>
  <c r="I13" i="2" s="1"/>
  <c r="C14" i="2"/>
  <c r="D13" i="4" l="1"/>
  <c r="F13" i="4"/>
  <c r="I13" i="4" s="1"/>
  <c r="C14" i="4"/>
  <c r="B15" i="4"/>
  <c r="H7" i="4"/>
  <c r="J7" i="4" s="1"/>
  <c r="H8" i="2"/>
  <c r="J8" i="2" s="1"/>
  <c r="D14" i="2"/>
  <c r="F14" i="2" s="1"/>
  <c r="I14" i="2" s="1"/>
  <c r="C15" i="2"/>
  <c r="D14" i="4" l="1"/>
  <c r="F14" i="4"/>
  <c r="I14" i="4" s="1"/>
  <c r="C15" i="4"/>
  <c r="B16" i="4"/>
  <c r="G8" i="4"/>
  <c r="K7" i="4"/>
  <c r="K8" i="2"/>
  <c r="G9" i="2"/>
  <c r="D15" i="2"/>
  <c r="F15" i="2" s="1"/>
  <c r="I15" i="2" s="1"/>
  <c r="C16" i="2"/>
  <c r="D15" i="4" l="1"/>
  <c r="F15" i="4" s="1"/>
  <c r="I15" i="4" s="1"/>
  <c r="C16" i="4"/>
  <c r="B17" i="4"/>
  <c r="H8" i="4"/>
  <c r="J8" i="4"/>
  <c r="H9" i="2"/>
  <c r="J9" i="2" s="1"/>
  <c r="D16" i="2"/>
  <c r="F16" i="2" s="1"/>
  <c r="I16" i="2" s="1"/>
  <c r="C17" i="2"/>
  <c r="D16" i="4" l="1"/>
  <c r="F16" i="4"/>
  <c r="I16" i="4" s="1"/>
  <c r="C17" i="4"/>
  <c r="B18" i="4"/>
  <c r="K8" i="4"/>
  <c r="G9" i="4"/>
  <c r="K9" i="2"/>
  <c r="G10" i="2"/>
  <c r="D17" i="2"/>
  <c r="F17" i="2" s="1"/>
  <c r="I17" i="2" s="1"/>
  <c r="C18" i="2"/>
  <c r="D17" i="4" l="1"/>
  <c r="F17" i="4"/>
  <c r="I17" i="4" s="1"/>
  <c r="C18" i="4"/>
  <c r="B19" i="4"/>
  <c r="H9" i="4"/>
  <c r="J9" i="4"/>
  <c r="H10" i="2"/>
  <c r="J10" i="2" s="1"/>
  <c r="D18" i="2"/>
  <c r="F18" i="2" s="1"/>
  <c r="I18" i="2" s="1"/>
  <c r="C19" i="2"/>
  <c r="D18" i="4" l="1"/>
  <c r="F18" i="4"/>
  <c r="I18" i="4" s="1"/>
  <c r="C19" i="4"/>
  <c r="B20" i="4"/>
  <c r="G10" i="4"/>
  <c r="K9" i="4"/>
  <c r="K10" i="2"/>
  <c r="G11" i="2"/>
  <c r="D19" i="2"/>
  <c r="F19" i="2" s="1"/>
  <c r="I19" i="2" s="1"/>
  <c r="C20" i="2"/>
  <c r="D19" i="4" l="1"/>
  <c r="F19" i="4"/>
  <c r="I19" i="4" s="1"/>
  <c r="C20" i="4"/>
  <c r="B21" i="4"/>
  <c r="H10" i="4"/>
  <c r="J10" i="4" s="1"/>
  <c r="H11" i="2"/>
  <c r="J11" i="2" s="1"/>
  <c r="D20" i="2"/>
  <c r="F20" i="2" s="1"/>
  <c r="I20" i="2" s="1"/>
  <c r="C21" i="2"/>
  <c r="D20" i="4" l="1"/>
  <c r="F20" i="4"/>
  <c r="I20" i="4" s="1"/>
  <c r="C21" i="4"/>
  <c r="B22" i="4"/>
  <c r="K10" i="4"/>
  <c r="G11" i="4"/>
  <c r="K11" i="2"/>
  <c r="G12" i="2"/>
  <c r="D21" i="2"/>
  <c r="F21" i="2" s="1"/>
  <c r="I21" i="2" s="1"/>
  <c r="C22" i="2"/>
  <c r="D21" i="4" l="1"/>
  <c r="F21" i="4"/>
  <c r="I21" i="4" s="1"/>
  <c r="C22" i="4"/>
  <c r="B23" i="4"/>
  <c r="H11" i="4"/>
  <c r="J11" i="4" s="1"/>
  <c r="H12" i="2"/>
  <c r="J12" i="2" s="1"/>
  <c r="D22" i="2"/>
  <c r="F22" i="2" s="1"/>
  <c r="I22" i="2" s="1"/>
  <c r="C23" i="2"/>
  <c r="D22" i="4" l="1"/>
  <c r="F22" i="4"/>
  <c r="I22" i="4" s="1"/>
  <c r="C23" i="4"/>
  <c r="B24" i="4"/>
  <c r="K11" i="4"/>
  <c r="G12" i="4"/>
  <c r="K12" i="2"/>
  <c r="G13" i="2"/>
  <c r="D23" i="2"/>
  <c r="F23" i="2" s="1"/>
  <c r="I23" i="2" s="1"/>
  <c r="C24" i="2"/>
  <c r="D23" i="4" l="1"/>
  <c r="F23" i="4"/>
  <c r="I23" i="4" s="1"/>
  <c r="C24" i="4"/>
  <c r="B25" i="4"/>
  <c r="H12" i="4"/>
  <c r="J12" i="4" s="1"/>
  <c r="H13" i="2"/>
  <c r="J13" i="2" s="1"/>
  <c r="D24" i="2"/>
  <c r="F24" i="2" s="1"/>
  <c r="I24" i="2" s="1"/>
  <c r="C25" i="2"/>
  <c r="D24" i="4" l="1"/>
  <c r="F24" i="4"/>
  <c r="I24" i="4" s="1"/>
  <c r="C25" i="4"/>
  <c r="B26" i="4"/>
  <c r="K12" i="4"/>
  <c r="G13" i="4"/>
  <c r="K13" i="2"/>
  <c r="G14" i="2"/>
  <c r="D25" i="2"/>
  <c r="F25" i="2" s="1"/>
  <c r="I25" i="2" s="1"/>
  <c r="C26" i="2"/>
  <c r="D25" i="4" l="1"/>
  <c r="F25" i="4"/>
  <c r="I25" i="4" s="1"/>
  <c r="C26" i="4"/>
  <c r="B27" i="4"/>
  <c r="H13" i="4"/>
  <c r="J13" i="4" s="1"/>
  <c r="H14" i="2"/>
  <c r="J14" i="2" s="1"/>
  <c r="D26" i="2"/>
  <c r="F26" i="2" s="1"/>
  <c r="I26" i="2" s="1"/>
  <c r="C27" i="2"/>
  <c r="D26" i="4" l="1"/>
  <c r="F26" i="4"/>
  <c r="I26" i="4" s="1"/>
  <c r="C27" i="4"/>
  <c r="B28" i="4"/>
  <c r="K13" i="4"/>
  <c r="G14" i="4"/>
  <c r="K14" i="2"/>
  <c r="G15" i="2"/>
  <c r="D27" i="2"/>
  <c r="F27" i="2" s="1"/>
  <c r="I27" i="2" s="1"/>
  <c r="C28" i="2"/>
  <c r="D27" i="4" l="1"/>
  <c r="F27" i="4"/>
  <c r="I27" i="4" s="1"/>
  <c r="C28" i="4"/>
  <c r="B29" i="4"/>
  <c r="H14" i="4"/>
  <c r="J14" i="4" s="1"/>
  <c r="H15" i="2"/>
  <c r="J15" i="2" s="1"/>
  <c r="D28" i="2"/>
  <c r="F28" i="2" s="1"/>
  <c r="I28" i="2" s="1"/>
  <c r="C29" i="2"/>
  <c r="D28" i="4" l="1"/>
  <c r="F28" i="4" s="1"/>
  <c r="I28" i="4" s="1"/>
  <c r="C29" i="4"/>
  <c r="B30" i="4"/>
  <c r="K14" i="4"/>
  <c r="G15" i="4"/>
  <c r="K15" i="2"/>
  <c r="G16" i="2"/>
  <c r="D29" i="2"/>
  <c r="F29" i="2" s="1"/>
  <c r="I29" i="2" s="1"/>
  <c r="C30" i="2"/>
  <c r="D29" i="4" l="1"/>
  <c r="F29" i="4"/>
  <c r="I29" i="4" s="1"/>
  <c r="C30" i="4"/>
  <c r="B31" i="4"/>
  <c r="H15" i="4"/>
  <c r="J15" i="4" s="1"/>
  <c r="H16" i="2"/>
  <c r="J16" i="2" s="1"/>
  <c r="D30" i="2"/>
  <c r="F30" i="2" s="1"/>
  <c r="I30" i="2" s="1"/>
  <c r="C31" i="2"/>
  <c r="D30" i="4" l="1"/>
  <c r="F30" i="4"/>
  <c r="I30" i="4" s="1"/>
  <c r="C31" i="4"/>
  <c r="B32" i="4"/>
  <c r="K15" i="4"/>
  <c r="G16" i="4"/>
  <c r="K16" i="2"/>
  <c r="G17" i="2"/>
  <c r="D31" i="2"/>
  <c r="F31" i="2" s="1"/>
  <c r="I31" i="2" s="1"/>
  <c r="C32" i="2"/>
  <c r="D31" i="4" l="1"/>
  <c r="F31" i="4"/>
  <c r="I31" i="4" s="1"/>
  <c r="C32" i="4"/>
  <c r="B33" i="4"/>
  <c r="H16" i="4"/>
  <c r="J16" i="4" s="1"/>
  <c r="H17" i="2"/>
  <c r="J17" i="2" s="1"/>
  <c r="D32" i="2"/>
  <c r="F32" i="2" s="1"/>
  <c r="I32" i="2" s="1"/>
  <c r="C33" i="2"/>
  <c r="D32" i="4" l="1"/>
  <c r="F32" i="4" s="1"/>
  <c r="I32" i="4" s="1"/>
  <c r="C33" i="4"/>
  <c r="B34" i="4"/>
  <c r="K16" i="4"/>
  <c r="G17" i="4"/>
  <c r="K17" i="2"/>
  <c r="G18" i="2"/>
  <c r="D33" i="2"/>
  <c r="F33" i="2" s="1"/>
  <c r="I33" i="2" s="1"/>
  <c r="C34" i="2"/>
  <c r="D33" i="4" l="1"/>
  <c r="F33" i="4" s="1"/>
  <c r="I33" i="4" s="1"/>
  <c r="C34" i="4"/>
  <c r="B35" i="4"/>
  <c r="H17" i="4"/>
  <c r="J17" i="4" s="1"/>
  <c r="H18" i="2"/>
  <c r="J18" i="2" s="1"/>
  <c r="D34" i="2"/>
  <c r="F34" i="2" s="1"/>
  <c r="I34" i="2" s="1"/>
  <c r="C35" i="2"/>
  <c r="D34" i="4" l="1"/>
  <c r="F34" i="4" s="1"/>
  <c r="I34" i="4" s="1"/>
  <c r="C35" i="4"/>
  <c r="B36" i="4"/>
  <c r="K17" i="4"/>
  <c r="G18" i="4"/>
  <c r="K18" i="2"/>
  <c r="G19" i="2"/>
  <c r="D35" i="2"/>
  <c r="F35" i="2" s="1"/>
  <c r="I35" i="2" s="1"/>
  <c r="C36" i="2"/>
  <c r="D35" i="4" l="1"/>
  <c r="F35" i="4"/>
  <c r="I35" i="4" s="1"/>
  <c r="C36" i="4"/>
  <c r="B37" i="4"/>
  <c r="H18" i="4"/>
  <c r="J18" i="4" s="1"/>
  <c r="H19" i="2"/>
  <c r="J19" i="2" s="1"/>
  <c r="D36" i="2"/>
  <c r="F36" i="2" s="1"/>
  <c r="I36" i="2" s="1"/>
  <c r="C37" i="2"/>
  <c r="D36" i="4" l="1"/>
  <c r="F36" i="4"/>
  <c r="I36" i="4" s="1"/>
  <c r="C37" i="4"/>
  <c r="B38" i="4"/>
  <c r="K18" i="4"/>
  <c r="G19" i="4"/>
  <c r="K19" i="2"/>
  <c r="G20" i="2"/>
  <c r="D37" i="2"/>
  <c r="F37" i="2" s="1"/>
  <c r="I37" i="2" s="1"/>
  <c r="C38" i="2"/>
  <c r="C39" i="2" s="1"/>
  <c r="D37" i="4" l="1"/>
  <c r="F37" i="4"/>
  <c r="I37" i="4" s="1"/>
  <c r="C38" i="4"/>
  <c r="B39" i="4"/>
  <c r="H19" i="4"/>
  <c r="J19" i="4" s="1"/>
  <c r="D39" i="2"/>
  <c r="F39" i="2" s="1"/>
  <c r="I39" i="2" s="1"/>
  <c r="C40" i="2"/>
  <c r="H20" i="2"/>
  <c r="J20" i="2" s="1"/>
  <c r="D38" i="2"/>
  <c r="F38" i="2" s="1"/>
  <c r="I38" i="2" s="1"/>
  <c r="D38" i="4" l="1"/>
  <c r="F38" i="4"/>
  <c r="I38" i="4" s="1"/>
  <c r="C39" i="4"/>
  <c r="B40" i="4"/>
  <c r="K19" i="4"/>
  <c r="G20" i="4"/>
  <c r="D40" i="2"/>
  <c r="F40" i="2" s="1"/>
  <c r="I40" i="2" s="1"/>
  <c r="C41" i="2"/>
  <c r="K20" i="2"/>
  <c r="G21" i="2"/>
  <c r="D39" i="4" l="1"/>
  <c r="F39" i="4"/>
  <c r="I39" i="4" s="1"/>
  <c r="C40" i="4"/>
  <c r="B41" i="4"/>
  <c r="H20" i="4"/>
  <c r="J20" i="4" s="1"/>
  <c r="D41" i="2"/>
  <c r="F41" i="2" s="1"/>
  <c r="I41" i="2" s="1"/>
  <c r="C42" i="2"/>
  <c r="H21" i="2"/>
  <c r="J21" i="2" s="1"/>
  <c r="D40" i="4" l="1"/>
  <c r="F40" i="4"/>
  <c r="I40" i="4" s="1"/>
  <c r="C41" i="4"/>
  <c r="B42" i="4"/>
  <c r="K20" i="4"/>
  <c r="G21" i="4"/>
  <c r="D42" i="2"/>
  <c r="F42" i="2" s="1"/>
  <c r="I42" i="2" s="1"/>
  <c r="C43" i="2"/>
  <c r="K21" i="2"/>
  <c r="G22" i="2"/>
  <c r="D41" i="4" l="1"/>
  <c r="F41" i="4"/>
  <c r="I41" i="4" s="1"/>
  <c r="C42" i="4"/>
  <c r="B43" i="4"/>
  <c r="H21" i="4"/>
  <c r="J21" i="4" s="1"/>
  <c r="D43" i="2"/>
  <c r="F43" i="2" s="1"/>
  <c r="I43" i="2" s="1"/>
  <c r="C44" i="2"/>
  <c r="H22" i="2"/>
  <c r="J22" i="2" s="1"/>
  <c r="D42" i="4" l="1"/>
  <c r="F42" i="4"/>
  <c r="I42" i="4" s="1"/>
  <c r="C43" i="4"/>
  <c r="B44" i="4"/>
  <c r="K21" i="4"/>
  <c r="G22" i="4"/>
  <c r="D44" i="2"/>
  <c r="F44" i="2" s="1"/>
  <c r="I44" i="2" s="1"/>
  <c r="C45" i="2"/>
  <c r="K22" i="2"/>
  <c r="G23" i="2"/>
  <c r="D43" i="4" l="1"/>
  <c r="F43" i="4"/>
  <c r="I43" i="4" s="1"/>
  <c r="C44" i="4"/>
  <c r="B45" i="4"/>
  <c r="H22" i="4"/>
  <c r="J22" i="4" s="1"/>
  <c r="D45" i="2"/>
  <c r="F45" i="2" s="1"/>
  <c r="I45" i="2" s="1"/>
  <c r="C46" i="2"/>
  <c r="H23" i="2"/>
  <c r="J23" i="2" s="1"/>
  <c r="D44" i="4" l="1"/>
  <c r="F44" i="4"/>
  <c r="I44" i="4" s="1"/>
  <c r="C45" i="4"/>
  <c r="B46" i="4"/>
  <c r="K22" i="4"/>
  <c r="G23" i="4"/>
  <c r="D46" i="2"/>
  <c r="F46" i="2" s="1"/>
  <c r="I46" i="2" s="1"/>
  <c r="C47" i="2"/>
  <c r="K23" i="2"/>
  <c r="G24" i="2"/>
  <c r="D45" i="4" l="1"/>
  <c r="F45" i="4"/>
  <c r="I45" i="4" s="1"/>
  <c r="C46" i="4"/>
  <c r="B47" i="4"/>
  <c r="H23" i="4"/>
  <c r="J23" i="4" s="1"/>
  <c r="D47" i="2"/>
  <c r="F47" i="2" s="1"/>
  <c r="I47" i="2" s="1"/>
  <c r="C48" i="2"/>
  <c r="H24" i="2"/>
  <c r="J24" i="2" s="1"/>
  <c r="D46" i="4" l="1"/>
  <c r="F46" i="4"/>
  <c r="I46" i="4" s="1"/>
  <c r="C47" i="4"/>
  <c r="B48" i="4"/>
  <c r="K23" i="4"/>
  <c r="G24" i="4"/>
  <c r="D48" i="2"/>
  <c r="F48" i="2" s="1"/>
  <c r="I48" i="2" s="1"/>
  <c r="C49" i="2"/>
  <c r="K24" i="2"/>
  <c r="G25" i="2"/>
  <c r="D47" i="4" l="1"/>
  <c r="F47" i="4"/>
  <c r="I47" i="4" s="1"/>
  <c r="C48" i="4"/>
  <c r="B49" i="4"/>
  <c r="H24" i="4"/>
  <c r="J24" i="4" s="1"/>
  <c r="D49" i="2"/>
  <c r="F49" i="2" s="1"/>
  <c r="I49" i="2" s="1"/>
  <c r="C50" i="2"/>
  <c r="H25" i="2"/>
  <c r="J25" i="2" s="1"/>
  <c r="D48" i="4" l="1"/>
  <c r="F48" i="4"/>
  <c r="I48" i="4" s="1"/>
  <c r="C49" i="4"/>
  <c r="B50" i="4"/>
  <c r="K24" i="4"/>
  <c r="G25" i="4"/>
  <c r="D50" i="2"/>
  <c r="F50" i="2" s="1"/>
  <c r="I50" i="2" s="1"/>
  <c r="C51" i="2"/>
  <c r="K25" i="2"/>
  <c r="G26" i="2"/>
  <c r="D49" i="4" l="1"/>
  <c r="F49" i="4"/>
  <c r="I49" i="4" s="1"/>
  <c r="C50" i="4"/>
  <c r="B51" i="4"/>
  <c r="H25" i="4"/>
  <c r="J25" i="4" s="1"/>
  <c r="D51" i="2"/>
  <c r="F51" i="2" s="1"/>
  <c r="I51" i="2" s="1"/>
  <c r="C52" i="2"/>
  <c r="H26" i="2"/>
  <c r="J26" i="2" s="1"/>
  <c r="D50" i="4" l="1"/>
  <c r="F50" i="4"/>
  <c r="I50" i="4" s="1"/>
  <c r="C51" i="4"/>
  <c r="B52" i="4"/>
  <c r="K25" i="4"/>
  <c r="G26" i="4"/>
  <c r="D52" i="2"/>
  <c r="F52" i="2" s="1"/>
  <c r="I52" i="2" s="1"/>
  <c r="C53" i="2"/>
  <c r="D53" i="2" s="1"/>
  <c r="F53" i="2" s="1"/>
  <c r="I53" i="2" s="1"/>
  <c r="K26" i="2"/>
  <c r="G27" i="2"/>
  <c r="D51" i="4" l="1"/>
  <c r="F51" i="4"/>
  <c r="I51" i="4" s="1"/>
  <c r="C52" i="4"/>
  <c r="B53" i="4"/>
  <c r="H26" i="4"/>
  <c r="J26" i="4" s="1"/>
  <c r="H27" i="2"/>
  <c r="J27" i="2" s="1"/>
  <c r="D52" i="4" l="1"/>
  <c r="F52" i="4" s="1"/>
  <c r="I52" i="4" s="1"/>
  <c r="C53" i="4"/>
  <c r="B54" i="4"/>
  <c r="K26" i="4"/>
  <c r="G27" i="4"/>
  <c r="K27" i="2"/>
  <c r="G28" i="2"/>
  <c r="D53" i="4" l="1"/>
  <c r="F53" i="4" s="1"/>
  <c r="I53" i="4" s="1"/>
  <c r="C54" i="4"/>
  <c r="B55" i="4"/>
  <c r="H27" i="4"/>
  <c r="J27" i="4" s="1"/>
  <c r="H28" i="2"/>
  <c r="J28" i="2" s="1"/>
  <c r="D54" i="4" l="1"/>
  <c r="F54" i="4" s="1"/>
  <c r="I54" i="4" s="1"/>
  <c r="C55" i="4"/>
  <c r="B56" i="4"/>
  <c r="K27" i="4"/>
  <c r="G28" i="4"/>
  <c r="K28" i="2"/>
  <c r="G29" i="2"/>
  <c r="D55" i="4" l="1"/>
  <c r="F55" i="4"/>
  <c r="I55" i="4" s="1"/>
  <c r="C56" i="4"/>
  <c r="B57" i="4"/>
  <c r="H28" i="4"/>
  <c r="J28" i="4"/>
  <c r="H29" i="2"/>
  <c r="J29" i="2" s="1"/>
  <c r="D56" i="4" l="1"/>
  <c r="F56" i="4" s="1"/>
  <c r="I56" i="4" s="1"/>
  <c r="C57" i="4"/>
  <c r="B58" i="4"/>
  <c r="K28" i="4"/>
  <c r="G29" i="4"/>
  <c r="K29" i="2"/>
  <c r="G30" i="2"/>
  <c r="D57" i="4" l="1"/>
  <c r="F57" i="4"/>
  <c r="I57" i="4" s="1"/>
  <c r="C58" i="4"/>
  <c r="B59" i="4"/>
  <c r="H29" i="4"/>
  <c r="J29" i="4"/>
  <c r="H30" i="2"/>
  <c r="J30" i="2" s="1"/>
  <c r="D58" i="4" l="1"/>
  <c r="F58" i="4"/>
  <c r="I58" i="4" s="1"/>
  <c r="C59" i="4"/>
  <c r="B60" i="4"/>
  <c r="K29" i="4"/>
  <c r="G30" i="4"/>
  <c r="K30" i="2"/>
  <c r="G31" i="2"/>
  <c r="D59" i="4" l="1"/>
  <c r="F59" i="4"/>
  <c r="I59" i="4" s="1"/>
  <c r="C60" i="4"/>
  <c r="B61" i="4"/>
  <c r="H30" i="4"/>
  <c r="J30" i="4"/>
  <c r="H31" i="2"/>
  <c r="J31" i="2" s="1"/>
  <c r="D60" i="4" l="1"/>
  <c r="F60" i="4"/>
  <c r="I60" i="4" s="1"/>
  <c r="C61" i="4"/>
  <c r="B62" i="4"/>
  <c r="K30" i="4"/>
  <c r="G31" i="4"/>
  <c r="K31" i="2"/>
  <c r="G32" i="2"/>
  <c r="D61" i="4" l="1"/>
  <c r="F61" i="4" s="1"/>
  <c r="I61" i="4" s="1"/>
  <c r="C62" i="4"/>
  <c r="B63" i="4"/>
  <c r="H31" i="4"/>
  <c r="J31" i="4" s="1"/>
  <c r="H32" i="2"/>
  <c r="J32" i="2" s="1"/>
  <c r="D62" i="4" l="1"/>
  <c r="F62" i="4"/>
  <c r="I62" i="4" s="1"/>
  <c r="C63" i="4"/>
  <c r="B64" i="4"/>
  <c r="K31" i="4"/>
  <c r="G32" i="4"/>
  <c r="K32" i="2"/>
  <c r="G33" i="2"/>
  <c r="D63" i="4" l="1"/>
  <c r="F63" i="4" s="1"/>
  <c r="I63" i="4" s="1"/>
  <c r="C64" i="4"/>
  <c r="B65" i="4"/>
  <c r="H32" i="4"/>
  <c r="J32" i="4" s="1"/>
  <c r="H33" i="2"/>
  <c r="J33" i="2" s="1"/>
  <c r="D64" i="4" l="1"/>
  <c r="F64" i="4" s="1"/>
  <c r="I64" i="4" s="1"/>
  <c r="C65" i="4"/>
  <c r="B66" i="4"/>
  <c r="K32" i="4"/>
  <c r="G33" i="4"/>
  <c r="K33" i="2"/>
  <c r="G34" i="2"/>
  <c r="D65" i="4" l="1"/>
  <c r="F65" i="4" s="1"/>
  <c r="I65" i="4" s="1"/>
  <c r="C66" i="4"/>
  <c r="B67" i="4"/>
  <c r="C67" i="4" s="1"/>
  <c r="H33" i="4"/>
  <c r="J33" i="4" s="1"/>
  <c r="H34" i="2"/>
  <c r="J34" i="2" s="1"/>
  <c r="D66" i="4" l="1"/>
  <c r="F66" i="4" s="1"/>
  <c r="I66" i="4" s="1"/>
  <c r="D67" i="4"/>
  <c r="F67" i="4"/>
  <c r="I67" i="4" s="1"/>
  <c r="K33" i="4"/>
  <c r="G34" i="4"/>
  <c r="K34" i="2"/>
  <c r="G35" i="2"/>
  <c r="H34" i="4" l="1"/>
  <c r="J34" i="4" s="1"/>
  <c r="H35" i="2"/>
  <c r="J35" i="2" s="1"/>
  <c r="K34" i="4" l="1"/>
  <c r="G35" i="4"/>
  <c r="K35" i="2"/>
  <c r="G36" i="2"/>
  <c r="H35" i="4" l="1"/>
  <c r="J35" i="4" s="1"/>
  <c r="H36" i="2"/>
  <c r="J36" i="2" s="1"/>
  <c r="K35" i="4" l="1"/>
  <c r="G36" i="4"/>
  <c r="K36" i="2"/>
  <c r="G37" i="2"/>
  <c r="H36" i="4" l="1"/>
  <c r="J36" i="4" s="1"/>
  <c r="H37" i="2"/>
  <c r="J37" i="2" s="1"/>
  <c r="K36" i="4" l="1"/>
  <c r="G37" i="4"/>
  <c r="K37" i="2"/>
  <c r="G38" i="2"/>
  <c r="H37" i="4" l="1"/>
  <c r="J37" i="4" s="1"/>
  <c r="H38" i="2"/>
  <c r="J38" i="2" s="1"/>
  <c r="K37" i="4" l="1"/>
  <c r="G38" i="4"/>
  <c r="K38" i="2"/>
  <c r="G39" i="2"/>
  <c r="H38" i="4" l="1"/>
  <c r="J38" i="4" s="1"/>
  <c r="H39" i="2"/>
  <c r="J39" i="2" s="1"/>
  <c r="K38" i="4" l="1"/>
  <c r="G39" i="4"/>
  <c r="K39" i="2"/>
  <c r="G40" i="2"/>
  <c r="H39" i="4" l="1"/>
  <c r="J39" i="4"/>
  <c r="H40" i="2"/>
  <c r="J40" i="2" s="1"/>
  <c r="K39" i="4" l="1"/>
  <c r="G40" i="4"/>
  <c r="K40" i="2"/>
  <c r="G41" i="2"/>
  <c r="H40" i="4" l="1"/>
  <c r="J40" i="4"/>
  <c r="H41" i="2"/>
  <c r="J41" i="2" s="1"/>
  <c r="K40" i="4" l="1"/>
  <c r="G41" i="4"/>
  <c r="K41" i="2"/>
  <c r="G42" i="2"/>
  <c r="H41" i="4" l="1"/>
  <c r="J41" i="4"/>
  <c r="H42" i="2"/>
  <c r="J42" i="2" s="1"/>
  <c r="K41" i="4" l="1"/>
  <c r="G42" i="4"/>
  <c r="K42" i="2"/>
  <c r="G43" i="2"/>
  <c r="H42" i="4" l="1"/>
  <c r="J42" i="4"/>
  <c r="H43" i="2"/>
  <c r="J43" i="2" s="1"/>
  <c r="K42" i="4" l="1"/>
  <c r="G43" i="4"/>
  <c r="K43" i="2"/>
  <c r="G44" i="2"/>
  <c r="H43" i="4" l="1"/>
  <c r="J43" i="4"/>
  <c r="H44" i="2"/>
  <c r="J44" i="2" s="1"/>
  <c r="K43" i="4" l="1"/>
  <c r="G44" i="4"/>
  <c r="K44" i="2"/>
  <c r="G45" i="2"/>
  <c r="H44" i="4" l="1"/>
  <c r="J44" i="4"/>
  <c r="H45" i="2"/>
  <c r="J45" i="2" s="1"/>
  <c r="K44" i="4" l="1"/>
  <c r="G45" i="4"/>
  <c r="K45" i="2"/>
  <c r="G46" i="2"/>
  <c r="H45" i="4" l="1"/>
  <c r="J45" i="4" s="1"/>
  <c r="H46" i="2"/>
  <c r="J46" i="2" s="1"/>
  <c r="K45" i="4" l="1"/>
  <c r="G46" i="4"/>
  <c r="K46" i="2"/>
  <c r="G47" i="2"/>
  <c r="H46" i="4" l="1"/>
  <c r="J46" i="4" s="1"/>
  <c r="H47" i="2"/>
  <c r="J47" i="2" s="1"/>
  <c r="K46" i="4" l="1"/>
  <c r="G47" i="4"/>
  <c r="K47" i="2"/>
  <c r="G48" i="2"/>
  <c r="H47" i="4" l="1"/>
  <c r="J47" i="4"/>
  <c r="H48" i="2"/>
  <c r="J48" i="2" s="1"/>
  <c r="K47" i="4" l="1"/>
  <c r="G48" i="4"/>
  <c r="K48" i="2"/>
  <c r="G49" i="2"/>
  <c r="H48" i="4" l="1"/>
  <c r="J48" i="4" s="1"/>
  <c r="H49" i="2"/>
  <c r="J49" i="2" s="1"/>
  <c r="K48" i="4" l="1"/>
  <c r="G49" i="4"/>
  <c r="K49" i="2"/>
  <c r="G50" i="2"/>
  <c r="H49" i="4" l="1"/>
  <c r="J49" i="4" s="1"/>
  <c r="H50" i="2"/>
  <c r="J50" i="2" s="1"/>
  <c r="K49" i="4" l="1"/>
  <c r="G50" i="4"/>
  <c r="K50" i="2"/>
  <c r="G51" i="2"/>
  <c r="H50" i="4" l="1"/>
  <c r="J50" i="4" s="1"/>
  <c r="H51" i="2"/>
  <c r="J51" i="2" s="1"/>
  <c r="K50" i="4" l="1"/>
  <c r="G51" i="4"/>
  <c r="K51" i="2"/>
  <c r="G52" i="2"/>
  <c r="H51" i="4" l="1"/>
  <c r="J51" i="4" s="1"/>
  <c r="H52" i="2"/>
  <c r="J52" i="2" s="1"/>
  <c r="K51" i="4" l="1"/>
  <c r="G52" i="4"/>
  <c r="K52" i="2"/>
  <c r="G53" i="2"/>
  <c r="H52" i="4" l="1"/>
  <c r="J52" i="4" s="1"/>
  <c r="H53" i="2"/>
  <c r="J53" i="2" s="1"/>
  <c r="K52" i="4" l="1"/>
  <c r="G53" i="4"/>
  <c r="K53" i="2"/>
  <c r="G54" i="2"/>
  <c r="H53" i="4" l="1"/>
  <c r="J53" i="4" s="1"/>
  <c r="H54" i="2"/>
  <c r="J54" i="2" s="1"/>
  <c r="K53" i="4" l="1"/>
  <c r="G54" i="4"/>
  <c r="K54" i="2"/>
  <c r="G55" i="2"/>
  <c r="H54" i="4" l="1"/>
  <c r="J54" i="4" s="1"/>
  <c r="H55" i="2"/>
  <c r="J55" i="2" s="1"/>
  <c r="K54" i="4" l="1"/>
  <c r="G55" i="4"/>
  <c r="K55" i="2"/>
  <c r="G56" i="2"/>
  <c r="H55" i="4" l="1"/>
  <c r="J55" i="4"/>
  <c r="H56" i="2"/>
  <c r="J56" i="2" s="1"/>
  <c r="K55" i="4" l="1"/>
  <c r="G56" i="4"/>
  <c r="K56" i="2"/>
  <c r="G57" i="2"/>
  <c r="H56" i="4" l="1"/>
  <c r="J56" i="4" s="1"/>
  <c r="H57" i="2"/>
  <c r="J57" i="2" s="1"/>
  <c r="K56" i="4" l="1"/>
  <c r="G57" i="4"/>
  <c r="K57" i="2"/>
  <c r="G58" i="2"/>
  <c r="H57" i="4" l="1"/>
  <c r="J57" i="4" s="1"/>
  <c r="H58" i="2"/>
  <c r="J58" i="2" s="1"/>
  <c r="K57" i="4" l="1"/>
  <c r="G58" i="4"/>
  <c r="K58" i="2"/>
  <c r="G59" i="2"/>
  <c r="H58" i="4" l="1"/>
  <c r="J58" i="4"/>
  <c r="H59" i="2"/>
  <c r="J59" i="2" s="1"/>
  <c r="K58" i="4" l="1"/>
  <c r="G59" i="4"/>
  <c r="K59" i="2"/>
  <c r="G60" i="2"/>
  <c r="H59" i="4" l="1"/>
  <c r="J59" i="4"/>
  <c r="H60" i="2"/>
  <c r="J60" i="2" s="1"/>
  <c r="K59" i="4" l="1"/>
  <c r="G60" i="4"/>
  <c r="K60" i="2"/>
  <c r="G61" i="2"/>
  <c r="H60" i="4" l="1"/>
  <c r="J60" i="4"/>
  <c r="H61" i="2"/>
  <c r="J61" i="2" s="1"/>
  <c r="K60" i="4" l="1"/>
  <c r="G61" i="4"/>
  <c r="K61" i="2"/>
  <c r="G62" i="2"/>
  <c r="H61" i="4" l="1"/>
  <c r="J61" i="4" s="1"/>
  <c r="H62" i="2"/>
  <c r="J62" i="2" s="1"/>
  <c r="K61" i="4" l="1"/>
  <c r="G62" i="4"/>
  <c r="K62" i="2"/>
  <c r="G63" i="2"/>
  <c r="H62" i="4" l="1"/>
  <c r="J62" i="4" s="1"/>
  <c r="H63" i="2"/>
  <c r="J63" i="2" s="1"/>
  <c r="K62" i="4" l="1"/>
  <c r="G63" i="4"/>
  <c r="K63" i="2"/>
  <c r="G64" i="2"/>
  <c r="H63" i="4" l="1"/>
  <c r="J63" i="4"/>
  <c r="H64" i="2"/>
  <c r="J64" i="2" s="1"/>
  <c r="K63" i="4" l="1"/>
  <c r="G64" i="4"/>
  <c r="K64" i="2"/>
  <c r="G65" i="2"/>
  <c r="H64" i="4" l="1"/>
  <c r="J64" i="4"/>
  <c r="H65" i="2"/>
  <c r="J65" i="2" s="1"/>
  <c r="K64" i="4" l="1"/>
  <c r="G65" i="4"/>
  <c r="K65" i="2"/>
  <c r="G66" i="2"/>
  <c r="H65" i="4" l="1"/>
  <c r="J65" i="4"/>
  <c r="H66" i="2"/>
  <c r="J66" i="2" s="1"/>
  <c r="K65" i="4" l="1"/>
  <c r="G66" i="4"/>
  <c r="K66" i="2"/>
  <c r="G67" i="2"/>
  <c r="H66" i="4" l="1"/>
  <c r="J66" i="4"/>
  <c r="H67" i="2"/>
  <c r="J67" i="2" s="1"/>
  <c r="K66" i="4" l="1"/>
  <c r="G67" i="4"/>
  <c r="K67" i="2"/>
  <c r="B8" i="3" a="1"/>
  <c r="B9" i="3" s="1"/>
  <c r="H67" i="4" l="1"/>
  <c r="J67" i="4" s="1"/>
  <c r="K6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<sst xmlns="http://schemas.openxmlformats.org/spreadsheetml/2006/main" count="43" uniqueCount="30">
  <si>
    <t>Age</t>
  </si>
  <si>
    <t>Annual Income Increase</t>
  </si>
  <si>
    <t>Plan Year</t>
  </si>
  <si>
    <t>Working Income</t>
  </si>
  <si>
    <t>Earned Interest</t>
  </si>
  <si>
    <t>End Savings Balance</t>
  </si>
  <si>
    <t>Yearly Savings</t>
  </si>
  <si>
    <t>Yearly Expenditures</t>
  </si>
  <si>
    <t>Overall Net Gain/Loss</t>
  </si>
  <si>
    <t>Income Tax</t>
  </si>
  <si>
    <t>Retirement Savings Withdrawl</t>
  </si>
  <si>
    <t>Current Age</t>
  </si>
  <si>
    <t>Current Annual Income</t>
  </si>
  <si>
    <t>Current Annual Expenses</t>
  </si>
  <si>
    <t>Current Retirement Savings</t>
  </si>
  <si>
    <t>Economic Assumptions</t>
  </si>
  <si>
    <t>Annual Inflation</t>
  </si>
  <si>
    <t>Desired Retirement Age</t>
  </si>
  <si>
    <t>Current Information</t>
  </si>
  <si>
    <t>Risk Tolerance (Pre-Retirement)</t>
  </si>
  <si>
    <t>Risk Tolerance (Post-Retirement)</t>
  </si>
  <si>
    <t>Conservative (Est. 4% Annual Return)</t>
  </si>
  <si>
    <t>Tax Rate</t>
  </si>
  <si>
    <t>Beginning Savings Balance</t>
  </si>
  <si>
    <t>Moderate  (Est. 6% Annual Return)</t>
  </si>
  <si>
    <t>Aggressive  (Est. 8% Annual Return)</t>
  </si>
  <si>
    <t>Pre-Retirement Investment Return</t>
  </si>
  <si>
    <t>Post-Retirement Investment Return</t>
  </si>
  <si>
    <t>Years Before Money Runs Out</t>
  </si>
  <si>
    <t>Age When Money Runs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</si>
</sst>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2" borderId="1" applyNumberFormat="0" applyAlignment="0" applyProtection="0"/>
  </cellStyleXfs>
  <cellXfs count="12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9" fontId="0" fillId="0" borderId="0" xfId="0" applyNumberFormat="1"/>
    <xf numFmtId="164" fontId="3" fillId="2" borderId="1" xfId="2" applyNumberFormat="1"/>
    <xf numFmtId="9" fontId="3" fillId="2" borderId="1" xfId="2" applyNumberFormat="1"/>
    <xf numFmtId="0" fontId="3" fillId="2" borderId="1" xfId="2"/>
    <xf numFmtId="10" fontId="0" fillId="0" borderId="0" xfId="0" applyNumberFormat="1"/>
    <xf numFmtId="164" fontId="0" fillId="0" borderId="0" xfId="1" applyNumberFormat="1" applyFont="1"/>
    <xf numFmtId="164" fontId="1" fillId="0" borderId="0" xfId="0" applyNumberFormat="1" applyFont="1"/>
    <xf numFmtId="0" fontId="0" fillId="3" borderId="0" xfId="0" applyFill="1" applyAlignment="1">
      <alignment horizontal="center"/>
    </xf>
  </cellXfs>
  <cellStyles count="3">
    <cellStyle name="Currency" xfId="1" builtinId="4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Retirement Savings Balance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412948381452319E-2"/>
          <c:y val="0.1804399970836979"/>
          <c:w val="0.92828608923884515"/>
          <c:h val="0.64884186351706041"/>
        </c:manualLayout>
      </c:layout>
      <c:lineChart>
        <c:grouping val="standard"/>
        <c:varyColors val="0"/>
        <c:ser>
          <c:idx val="1"/>
          <c:order val="1"/>
          <c:tx>
            <c:strRef>
              <c:f>Calculations!$J$1</c:f>
              <c:strCache>
                <c:ptCount val="1"/>
                <c:pt idx="0">
                  <c:v>End Savings Balance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Calculations!$B$2:$B$67</c:f>
              <c:numCache>
                <c:formatCode>General</c:formatCode>
                <c:ptCount val="66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</c:numCache>
            </c:numRef>
          </c:cat>
          <c:val>
            <c:numRef>
              <c:f>Calculations!$J$2:$J$67</c:f>
              <c:numCache>
                <c:formatCode>"$"#,##0.00</c:formatCode>
                <c:ptCount val="66"/>
                <c:pt idx="0">
                  <c:v>36400</c:v>
                </c:pt>
                <c:pt idx="1">
                  <c:v>43868</c:v>
                </c:pt>
                <c:pt idx="2">
                  <c:v>52510.44</c:v>
                </c:pt>
                <c:pt idx="3">
                  <c:v>62442.290800000002</c:v>
                </c:pt>
                <c:pt idx="4">
                  <c:v>73787.665124000006</c:v>
                </c:pt>
                <c:pt idx="5">
                  <c:v>86680.469787480004</c:v>
                </c:pt>
                <c:pt idx="6">
                  <c:v>101265.10155816039</c:v>
                </c:pt>
                <c:pt idx="7">
                  <c:v>117697.18952668336</c:v>
                </c:pt>
                <c:pt idx="8">
                  <c:v>136144.38698103148</c:v>
                </c:pt>
                <c:pt idx="9">
                  <c:v>156787.21596664417</c:v>
                </c:pt>
                <c:pt idx="10">
                  <c:v>179819.96791397827</c:v>
                </c:pt>
                <c:pt idx="11">
                  <c:v>205451.66392739792</c:v>
                </c:pt>
                <c:pt idx="12">
                  <c:v>233907.07855452818</c:v>
                </c:pt>
                <c:pt idx="13">
                  <c:v>265427.83109436883</c:v>
                </c:pt>
                <c:pt idx="14">
                  <c:v>300273.54875638842</c:v>
                </c:pt>
                <c:pt idx="15">
                  <c:v>338723.10625241109</c:v>
                </c:pt>
                <c:pt idx="16">
                  <c:v>381075.94668932108</c:v>
                </c:pt>
                <c:pt idx="17">
                  <c:v>427653.48893446568</c:v>
                </c:pt>
                <c:pt idx="18">
                  <c:v>478800.62694820628</c:v>
                </c:pt>
                <c:pt idx="19">
                  <c:v>534887.32692049816</c:v>
                </c:pt>
                <c:pt idx="20">
                  <c:v>596310.32841188204</c:v>
                </c:pt>
                <c:pt idx="21">
                  <c:v>663494.95608512976</c:v>
                </c:pt>
                <c:pt idx="22">
                  <c:v>736897.04902336863</c:v>
                </c:pt>
                <c:pt idx="23">
                  <c:v>817005.01506525744</c:v>
                </c:pt>
                <c:pt idx="24">
                  <c:v>904342.01804924232</c:v>
                </c:pt>
                <c:pt idx="25">
                  <c:v>999468.30634869938</c:v>
                </c:pt>
                <c:pt idx="26">
                  <c:v>1102983.691599611</c:v>
                </c:pt>
                <c:pt idx="27">
                  <c:v>1215530.1870741488</c:v>
                </c:pt>
                <c:pt idx="28">
                  <c:v>1337794.8157390864</c:v>
                </c:pt>
                <c:pt idx="29">
                  <c:v>1470512.5986594083</c:v>
                </c:pt>
                <c:pt idx="30">
                  <c:v>1407969.9790463015</c:v>
                </c:pt>
                <c:pt idx="31">
                  <c:v>1339284.7609418859</c:v>
                </c:pt>
                <c:pt idx="32">
                  <c:v>1264102.0135953056</c:v>
                </c:pt>
                <c:pt idx="33">
                  <c:v>1182049.3322213343</c:v>
                </c:pt>
                <c:pt idx="34">
                  <c:v>1092736.0407348708</c:v>
                </c:pt>
                <c:pt idx="35">
                  <c:v>995752.35964568937</c:v>
                </c:pt>
                <c:pt idx="36">
                  <c:v>890668.53763138328</c:v>
                </c:pt>
                <c:pt idx="37">
                  <c:v>777033.945244501</c:v>
                </c:pt>
                <c:pt idx="38">
                  <c:v>654376.12914537929</c:v>
                </c:pt>
                <c:pt idx="39">
                  <c:v>522199.82518502563</c:v>
                </c:pt>
                <c:pt idx="40">
                  <c:v>379985.9285924728</c:v>
                </c:pt>
                <c:pt idx="41">
                  <c:v>227190.41944821921</c:v>
                </c:pt>
                <c:pt idx="42">
                  <c:v>63243.2415495569</c:v>
                </c:pt>
                <c:pt idx="43">
                  <c:v>-112452.86730534965</c:v>
                </c:pt>
                <c:pt idx="44">
                  <c:v>-300523.59566995915</c:v>
                </c:pt>
                <c:pt idx="45">
                  <c:v>-501624.33157932491</c:v>
                </c:pt>
                <c:pt idx="46">
                  <c:v>-716441.49068754236</c:v>
                </c:pt>
                <c:pt idx="47">
                  <c:v>-945693.9017354399</c:v>
                </c:pt>
                <c:pt idx="48">
                  <c:v>-1190134.2517678651</c:v>
                </c:pt>
                <c:pt idx="49">
                  <c:v>-1450550.5936204775</c:v>
                </c:pt>
                <c:pt idx="50">
                  <c:v>-1727767.9183006512</c:v>
                </c:pt>
                <c:pt idx="51">
                  <c:v>-2022649.7949960928</c:v>
                </c:pt>
                <c:pt idx="52">
                  <c:v>-2336100.0815582545</c:v>
                </c:pt>
                <c:pt idx="53">
                  <c:v>-2669064.7084257724</c:v>
                </c:pt>
                <c:pt idx="54">
                  <c:v>-3022533.5390761462</c:v>
                </c:pt>
                <c:pt idx="55">
                  <c:v>-3397542.3102219356</c:v>
                </c:pt>
                <c:pt idx="56">
                  <c:v>-3795174.655101039</c:v>
                </c:pt>
                <c:pt idx="57">
                  <c:v>-4216564.2133494131</c:v>
                </c:pt>
                <c:pt idx="58">
                  <c:v>-4662896.8310890524</c:v>
                </c:pt>
                <c:pt idx="59">
                  <c:v>-5135412.8550144471</c:v>
                </c:pt>
                <c:pt idx="60">
                  <c:v>-5635409.5244173119</c:v>
                </c:pt>
                <c:pt idx="61">
                  <c:v>-6164243.4652523603</c:v>
                </c:pt>
                <c:pt idx="62">
                  <c:v>-6723333.2905165618</c:v>
                </c:pt>
                <c:pt idx="63">
                  <c:v>-7314162.3113909541</c:v>
                </c:pt>
                <c:pt idx="64">
                  <c:v>-7938281.3637779336</c:v>
                </c:pt>
                <c:pt idx="65">
                  <c:v>-8597311.7550583333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E2-496A-AF31-D30BFA80EB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16425407"/>
        <c:axId val="13121480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Calculations!$B$1</c15:sqref>
                        </c15:formulaRef>
                      </c:ext>
                    </c:extLst>
                    <c:strCache>
                      <c:ptCount val="1"/>
                      <c:pt idx="0">
                        <c:v>Age</c:v>
                      </c:pt>
                    </c:strCache>
                  </c:strRef>
                </c:tx>
                <c:spPr>
                  <a:ln w="317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Calculations!$B$2:$B$67</c15:sqref>
                        </c15:formulaRef>
                      </c:ext>
                    </c:extLst>
                    <c:numCache>
                      <c:formatCode>General</c:formatCode>
                      <c:ptCount val="66"/>
                      <c:pt idx="0">
                        <c:v>35</c:v>
                      </c:pt>
                      <c:pt idx="1">
                        <c:v>36</c:v>
                      </c:pt>
                      <c:pt idx="2">
                        <c:v>37</c:v>
                      </c:pt>
                      <c:pt idx="3">
                        <c:v>38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41</c:v>
                      </c:pt>
                      <c:pt idx="7">
                        <c:v>42</c:v>
                      </c:pt>
                      <c:pt idx="8">
                        <c:v>43</c:v>
                      </c:pt>
                      <c:pt idx="9">
                        <c:v>44</c:v>
                      </c:pt>
                      <c:pt idx="10">
                        <c:v>45</c:v>
                      </c:pt>
                      <c:pt idx="11">
                        <c:v>46</c:v>
                      </c:pt>
                      <c:pt idx="12">
                        <c:v>47</c:v>
                      </c:pt>
                      <c:pt idx="13">
                        <c:v>48</c:v>
                      </c:pt>
                      <c:pt idx="14">
                        <c:v>49</c:v>
                      </c:pt>
                      <c:pt idx="15">
                        <c:v>50</c:v>
                      </c:pt>
                      <c:pt idx="16">
                        <c:v>51</c:v>
                      </c:pt>
                      <c:pt idx="17">
                        <c:v>52</c:v>
                      </c:pt>
                      <c:pt idx="18">
                        <c:v>53</c:v>
                      </c:pt>
                      <c:pt idx="19">
                        <c:v>54</c:v>
                      </c:pt>
                      <c:pt idx="20">
                        <c:v>55</c:v>
                      </c:pt>
                      <c:pt idx="21">
                        <c:v>56</c:v>
                      </c:pt>
                      <c:pt idx="22">
                        <c:v>57</c:v>
                      </c:pt>
                      <c:pt idx="23">
                        <c:v>58</c:v>
                      </c:pt>
                      <c:pt idx="24">
                        <c:v>59</c:v>
                      </c:pt>
                      <c:pt idx="25">
                        <c:v>60</c:v>
                      </c:pt>
                      <c:pt idx="26">
                        <c:v>61</c:v>
                      </c:pt>
                      <c:pt idx="27">
                        <c:v>62</c:v>
                      </c:pt>
                      <c:pt idx="28">
                        <c:v>63</c:v>
                      </c:pt>
                      <c:pt idx="29">
                        <c:v>64</c:v>
                      </c:pt>
                      <c:pt idx="30">
                        <c:v>65</c:v>
                      </c:pt>
                      <c:pt idx="31">
                        <c:v>66</c:v>
                      </c:pt>
                      <c:pt idx="32">
                        <c:v>67</c:v>
                      </c:pt>
                      <c:pt idx="33">
                        <c:v>68</c:v>
                      </c:pt>
                      <c:pt idx="34">
                        <c:v>69</c:v>
                      </c:pt>
                      <c:pt idx="35">
                        <c:v>70</c:v>
                      </c:pt>
                      <c:pt idx="36">
                        <c:v>71</c:v>
                      </c:pt>
                      <c:pt idx="37">
                        <c:v>72</c:v>
                      </c:pt>
                      <c:pt idx="38">
                        <c:v>73</c:v>
                      </c:pt>
                      <c:pt idx="39">
                        <c:v>74</c:v>
                      </c:pt>
                      <c:pt idx="40">
                        <c:v>75</c:v>
                      </c:pt>
                      <c:pt idx="41">
                        <c:v>76</c:v>
                      </c:pt>
                      <c:pt idx="42">
                        <c:v>77</c:v>
                      </c:pt>
                      <c:pt idx="43">
                        <c:v>78</c:v>
                      </c:pt>
                      <c:pt idx="44">
                        <c:v>79</c:v>
                      </c:pt>
                      <c:pt idx="45">
                        <c:v>80</c:v>
                      </c:pt>
                      <c:pt idx="46">
                        <c:v>81</c:v>
                      </c:pt>
                      <c:pt idx="47">
                        <c:v>82</c:v>
                      </c:pt>
                      <c:pt idx="48">
                        <c:v>83</c:v>
                      </c:pt>
                      <c:pt idx="49">
                        <c:v>84</c:v>
                      </c:pt>
                      <c:pt idx="50">
                        <c:v>85</c:v>
                      </c:pt>
                      <c:pt idx="51">
                        <c:v>86</c:v>
                      </c:pt>
                      <c:pt idx="52">
                        <c:v>87</c:v>
                      </c:pt>
                      <c:pt idx="53">
                        <c:v>88</c:v>
                      </c:pt>
                      <c:pt idx="54">
                        <c:v>89</c:v>
                      </c:pt>
                      <c:pt idx="55">
                        <c:v>90</c:v>
                      </c:pt>
                      <c:pt idx="56">
                        <c:v>91</c:v>
                      </c:pt>
                      <c:pt idx="57">
                        <c:v>92</c:v>
                      </c:pt>
                      <c:pt idx="58">
                        <c:v>93</c:v>
                      </c:pt>
                      <c:pt idx="59">
                        <c:v>94</c:v>
                      </c:pt>
                      <c:pt idx="60">
                        <c:v>95</c:v>
                      </c:pt>
                      <c:pt idx="61">
                        <c:v>96</c:v>
                      </c:pt>
                      <c:pt idx="62">
                        <c:v>97</c:v>
                      </c:pt>
                      <c:pt idx="63">
                        <c:v>98</c:v>
                      </c:pt>
                      <c:pt idx="64">
                        <c:v>99</c:v>
                      </c:pt>
                      <c:pt idx="65">
                        <c:v>100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Calculations!$B$2:$B$67</c15:sqref>
                        </c15:formulaRef>
                      </c:ext>
                    </c:extLst>
                    <c:numCache>
                      <c:formatCode>General</c:formatCode>
                      <c:ptCount val="66"/>
                      <c:pt idx="0">
                        <c:v>35</c:v>
                      </c:pt>
                      <c:pt idx="1">
                        <c:v>36</c:v>
                      </c:pt>
                      <c:pt idx="2">
                        <c:v>37</c:v>
                      </c:pt>
                      <c:pt idx="3">
                        <c:v>38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41</c:v>
                      </c:pt>
                      <c:pt idx="7">
                        <c:v>42</c:v>
                      </c:pt>
                      <c:pt idx="8">
                        <c:v>43</c:v>
                      </c:pt>
                      <c:pt idx="9">
                        <c:v>44</c:v>
                      </c:pt>
                      <c:pt idx="10">
                        <c:v>45</c:v>
                      </c:pt>
                      <c:pt idx="11">
                        <c:v>46</c:v>
                      </c:pt>
                      <c:pt idx="12">
                        <c:v>47</c:v>
                      </c:pt>
                      <c:pt idx="13">
                        <c:v>48</c:v>
                      </c:pt>
                      <c:pt idx="14">
                        <c:v>49</c:v>
                      </c:pt>
                      <c:pt idx="15">
                        <c:v>50</c:v>
                      </c:pt>
                      <c:pt idx="16">
                        <c:v>51</c:v>
                      </c:pt>
                      <c:pt idx="17">
                        <c:v>52</c:v>
                      </c:pt>
                      <c:pt idx="18">
                        <c:v>53</c:v>
                      </c:pt>
                      <c:pt idx="19">
                        <c:v>54</c:v>
                      </c:pt>
                      <c:pt idx="20">
                        <c:v>55</c:v>
                      </c:pt>
                      <c:pt idx="21">
                        <c:v>56</c:v>
                      </c:pt>
                      <c:pt idx="22">
                        <c:v>57</c:v>
                      </c:pt>
                      <c:pt idx="23">
                        <c:v>58</c:v>
                      </c:pt>
                      <c:pt idx="24">
                        <c:v>59</c:v>
                      </c:pt>
                      <c:pt idx="25">
                        <c:v>60</c:v>
                      </c:pt>
                      <c:pt idx="26">
                        <c:v>61</c:v>
                      </c:pt>
                      <c:pt idx="27">
                        <c:v>62</c:v>
                      </c:pt>
                      <c:pt idx="28">
                        <c:v>63</c:v>
                      </c:pt>
                      <c:pt idx="29">
                        <c:v>64</c:v>
                      </c:pt>
                      <c:pt idx="30">
                        <c:v>65</c:v>
                      </c:pt>
                      <c:pt idx="31">
                        <c:v>66</c:v>
                      </c:pt>
                      <c:pt idx="32">
                        <c:v>67</c:v>
                      </c:pt>
                      <c:pt idx="33">
                        <c:v>68</c:v>
                      </c:pt>
                      <c:pt idx="34">
                        <c:v>69</c:v>
                      </c:pt>
                      <c:pt idx="35">
                        <c:v>70</c:v>
                      </c:pt>
                      <c:pt idx="36">
                        <c:v>71</c:v>
                      </c:pt>
                      <c:pt idx="37">
                        <c:v>72</c:v>
                      </c:pt>
                      <c:pt idx="38">
                        <c:v>73</c:v>
                      </c:pt>
                      <c:pt idx="39">
                        <c:v>74</c:v>
                      </c:pt>
                      <c:pt idx="40">
                        <c:v>75</c:v>
                      </c:pt>
                      <c:pt idx="41">
                        <c:v>76</c:v>
                      </c:pt>
                      <c:pt idx="42">
                        <c:v>77</c:v>
                      </c:pt>
                      <c:pt idx="43">
                        <c:v>78</c:v>
                      </c:pt>
                      <c:pt idx="44">
                        <c:v>79</c:v>
                      </c:pt>
                      <c:pt idx="45">
                        <c:v>80</c:v>
                      </c:pt>
                      <c:pt idx="46">
                        <c:v>81</c:v>
                      </c:pt>
                      <c:pt idx="47">
                        <c:v>82</c:v>
                      </c:pt>
                      <c:pt idx="48">
                        <c:v>83</c:v>
                      </c:pt>
                      <c:pt idx="49">
                        <c:v>84</c:v>
                      </c:pt>
                      <c:pt idx="50">
                        <c:v>85</c:v>
                      </c:pt>
                      <c:pt idx="51">
                        <c:v>86</c:v>
                      </c:pt>
                      <c:pt idx="52">
                        <c:v>87</c:v>
                      </c:pt>
                      <c:pt idx="53">
                        <c:v>88</c:v>
                      </c:pt>
                      <c:pt idx="54">
                        <c:v>89</c:v>
                      </c:pt>
                      <c:pt idx="55">
                        <c:v>90</c:v>
                      </c:pt>
                      <c:pt idx="56">
                        <c:v>91</c:v>
                      </c:pt>
                      <c:pt idx="57">
                        <c:v>92</c:v>
                      </c:pt>
                      <c:pt idx="58">
                        <c:v>93</c:v>
                      </c:pt>
                      <c:pt idx="59">
                        <c:v>94</c:v>
                      </c:pt>
                      <c:pt idx="60">
                        <c:v>95</c:v>
                      </c:pt>
                      <c:pt idx="61">
                        <c:v>96</c:v>
                      </c:pt>
                      <c:pt idx="62">
                        <c:v>97</c:v>
                      </c:pt>
                      <c:pt idx="63">
                        <c:v>98</c:v>
                      </c:pt>
                      <c:pt idx="64">
                        <c:v>99</c:v>
                      </c:pt>
                      <c:pt idx="65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6E2-496A-AF31-D30BFA80EB0A}"/>
                  </c:ext>
                </c:extLst>
              </c15:ser>
            </c15:filteredLineSeries>
          </c:ext>
        </c:extLst>
      </c:lineChart>
      <c:catAx>
        <c:axId val="131642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  <a:p>
                <a:pPr>
                  <a:defRPr/>
                </a:pPr>
                <a:r>
                  <a:rPr lang="en-US"/>
                  <a:t>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148015"/>
        <c:crosses val="autoZero"/>
        <c:auto val="1"/>
        <c:lblAlgn val="ctr"/>
        <c:lblOffset val="100"/>
        <c:noMultiLvlLbl val="0"/>
      </c:catAx>
      <c:valAx>
        <c:axId val="13121480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1" i="0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42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Scroll" dx="31" fmlaLink="$B$1" horiz="1" max="100" min="35" page="10" val="65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0</xdr:row>
          <xdr:rowOff>31750</xdr:rowOff>
        </xdr:from>
        <xdr:to>
          <xdr:col>2</xdr:col>
          <xdr:colOff>558800</xdr:colOff>
          <xdr:row>1</xdr:row>
          <xdr:rowOff>82550</xdr:rowOff>
        </xdr:to>
        <xdr:sp macro="" textlink="">
          <xdr:nvSpPr>
            <xdr:cNvPr id="1027" name="Scroll Ba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127000</xdr:colOff>
      <xdr:row>0</xdr:row>
      <xdr:rowOff>25400</xdr:rowOff>
    </xdr:from>
    <xdr:to>
      <xdr:col>15</xdr:col>
      <xdr:colOff>222250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411EA4-C934-7F05-2147-C46576494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9" sqref="G19"/>
    </sheetView>
  </sheetViews>
  <sheetFormatPr defaultRowHeight="14.5" x14ac:dyDescent="0.35"/>
  <cols>
    <col min="1" max="1" width="32.54296875" bestFit="1" customWidth="1"/>
    <col min="2" max="2" width="32.08984375" bestFit="1" customWidth="1"/>
  </cols>
  <sheetData>
    <row r="1" spans="1:2" x14ac:dyDescent="0.35">
      <c r="A1" s="1" t="s">
        <v>17</v>
      </c>
      <c r="B1">
        <v>65</v>
      </c>
    </row>
    <row r="4" spans="1:2" ht="17.5" customHeight="1" x14ac:dyDescent="0.35">
      <c r="A4" s="1" t="s">
        <v>18</v>
      </c>
    </row>
    <row r="5" spans="1:2" x14ac:dyDescent="0.35">
      <c r="A5" t="s">
        <v>11</v>
      </c>
      <c r="B5" s="2">
        <v>35</v>
      </c>
    </row>
    <row r="6" spans="1:2" x14ac:dyDescent="0.35">
      <c r="A6" t="s">
        <v>12</v>
      </c>
      <c r="B6" s="5">
        <v>70000</v>
      </c>
    </row>
    <row r="7" spans="1:2" x14ac:dyDescent="0.35">
      <c r="A7" t="s">
        <v>13</v>
      </c>
      <c r="B7" s="5">
        <v>50000</v>
      </c>
    </row>
    <row r="8" spans="1:2" x14ac:dyDescent="0.35">
      <c r="A8" t="s">
        <v>14</v>
      </c>
      <c r="B8" s="5">
        <v>30000</v>
      </c>
    </row>
    <row r="9" spans="1:2" ht="14.5" customHeight="1" x14ac:dyDescent="0.35"/>
    <row r="10" spans="1:2" x14ac:dyDescent="0.35">
      <c r="A10" s="1" t="s">
        <v>15</v>
      </c>
    </row>
    <row r="11" spans="1:2" x14ac:dyDescent="0.35">
      <c r="A11" t="s">
        <v>16</v>
      </c>
      <c r="B11" s="6">
        <v>0.03</v>
      </c>
    </row>
    <row r="12" spans="1:2" x14ac:dyDescent="0.35">
      <c r="A12" t="s">
        <v>1</v>
      </c>
      <c r="B12" s="6">
        <v>0.04</v>
      </c>
    </row>
    <row r="13" spans="1:2" x14ac:dyDescent="0.35">
      <c r="A13" t="s">
        <v>22</v>
      </c>
      <c r="B13" s="6">
        <v>0.22</v>
      </c>
    </row>
    <row r="14" spans="1:2" ht="14.5" customHeight="1" x14ac:dyDescent="0.35"/>
    <row r="15" spans="1:2" x14ac:dyDescent="0.35">
      <c r="A15" s="1" t="s">
        <v>19</v>
      </c>
      <c r="B15" s="7" t="s">
        <v>24</v>
      </c>
    </row>
    <row r="17" spans="1:6" ht="14.5" customHeight="1" x14ac:dyDescent="0.35"/>
    <row r="18" spans="1:6" x14ac:dyDescent="0.35">
      <c r="A18" s="1" t="s">
        <v>20</v>
      </c>
      <c r="B18" s="7" t="s">
        <v>21</v>
      </c>
    </row>
    <row r="20" spans="1:6" ht="14.5" customHeight="1" x14ac:dyDescent="0.35"/>
    <row r="21" spans="1:6" x14ac:dyDescent="0.35">
      <c r="A21" s="11" t="str">
        <f>"Your retirement savings are projected to run out at age "&amp;Support!B9</f>
        <v>Your retirement savings are projected to run out at age 78</v>
      </c>
      <c r="B21" s="11"/>
      <c r="C21" s="11"/>
      <c r="D21" s="11"/>
      <c r="E21" s="11"/>
      <c r="F21" s="11"/>
    </row>
  </sheetData>
  <mergeCells count="1">
    <mergeCell ref="A21:F21"/>
  </mergeCells>
  <dataValidations count="1">
    <dataValidation type="list" allowBlank="1" showInputMessage="1" showErrorMessage="1" sqref="B19" xr:uid="{14FA13DD-8910-4315-AEA4-C37A77457A0E}">
      <formula1>#REF!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Scroll Bar 3">
              <controlPr defaultSize="0" autoPict="0">
                <anchor moveWithCells="1">
                  <from>
                    <xdr:col>2</xdr:col>
                    <xdr:colOff>69850</xdr:colOff>
                    <xdr:row>0</xdr:row>
                    <xdr:rowOff>31750</xdr:rowOff>
                  </from>
                  <to>
                    <xdr:col>2</xdr:col>
                    <xdr:colOff>558800</xdr:colOff>
                    <xdr:row>1</xdr:row>
                    <xdr:rowOff>82550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DF37F1-CAF3-480D-A3C9-3A1F1D1A23A6}">
          <x14:formula1>
            <xm:f>Support!$A$1:$A$3</xm:f>
          </x14:formula1>
          <xm:sqref>B15 B18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28CB-7E33-4029-B08A-0FFDD1195B76}">
  <dimension ref="A1:K67"/>
  <sheetViews>
    <sheetView workbookViewId="0">
      <pane ySplit="1" topLeftCell="A2" activePane="bottomLeft" state="frozen"/>
      <selection pane="bottomLeft" sqref="A1:K67"/>
    </sheetView>
  </sheetViews>
  <sheetFormatPr defaultRowHeight="14.5" x14ac:dyDescent="0.35"/>
  <cols>
    <col min="1" max="1" width="8.6328125" bestFit="1" customWidth="1"/>
    <col min="2" max="2" width="3.90625" bestFit="1" customWidth="1"/>
    <col min="3" max="3" width="14.6328125" bestFit="1" customWidth="1"/>
    <col min="4" max="4" width="11.08984375" style="3" bestFit="1" customWidth="1"/>
    <col min="5" max="5" width="17.54296875" style="3" bestFit="1" customWidth="1"/>
    <col min="6" max="6" width="12.453125" style="3" bestFit="1" customWidth="1"/>
    <col min="7" max="7" width="22.6328125" style="3" bestFit="1" customWidth="1"/>
    <col min="8" max="8" width="13.90625" bestFit="1" customWidth="1"/>
    <col min="9" max="9" width="26.453125" bestFit="1" customWidth="1"/>
    <col min="10" max="10" width="17.6328125" bestFit="1" customWidth="1"/>
    <col min="11" max="11" width="19" bestFit="1" customWidth="1"/>
  </cols>
  <sheetData>
    <row r="1" spans="1:11" x14ac:dyDescent="0.35">
      <c r="A1" s="1" t="s">
        <v>2</v>
      </c>
      <c r="B1" s="1" t="s">
        <v>0</v>
      </c>
      <c r="C1" s="1" t="s">
        <v>3</v>
      </c>
      <c r="D1" s="10" t="s">
        <v>9</v>
      </c>
      <c r="E1" s="10" t="s">
        <v>7</v>
      </c>
      <c r="F1" s="10" t="s">
        <v>6</v>
      </c>
      <c r="G1" s="10" t="s">
        <v>23</v>
      </c>
      <c r="H1" s="1" t="s">
        <v>4</v>
      </c>
      <c r="I1" s="1" t="s">
        <v>10</v>
      </c>
      <c r="J1" s="1" t="s">
        <v>5</v>
      </c>
      <c r="K1" s="1" t="s">
        <v>8</v>
      </c>
    </row>
    <row r="2" spans="1:11" x14ac:dyDescent="0.35">
      <c r="A2">
        <v>1</v>
      </c>
      <c r="B2">
        <f>CurrentAge</f>
        <v>35</v>
      </c>
      <c r="C2">
        <f>IF(B2&lt;Planner!$B$1,Planner!$B$6,0)</f>
        <v>70000</v>
      </c>
      <c r="D2" s="9">
        <f>C2*Planner!$B$13</f>
        <v>15400</v>
      </c>
      <c r="E2" s="9">
        <f>Planner!$B$7</f>
        <v>50000</v>
      </c>
      <c r="F2" s="3">
        <f>C2-D2-E2</f>
        <v>4600</v>
      </c>
      <c r="G2" s="3">
        <f>Planner!$B$8</f>
        <v>30000</v>
      </c>
      <c r="H2" s="3">
        <f>G2*IF(B2&lt;Planner!$B$1,Support!$B$5,Support!$B$6)</f>
        <v>1800</v>
      </c>
      <c r="I2" s="3">
        <f>MAX(0,-F2)</f>
        <v>0</v>
      </c>
      <c r="J2" s="3">
        <f>G2+H2+F2</f>
        <v>36400</v>
      </c>
      <c r="K2" s="3">
        <f>J2-G2</f>
        <v>6400</v>
      </c>
    </row>
    <row r="3" spans="1:11" x14ac:dyDescent="0.35">
      <c r="A3">
        <f>A2+1</f>
        <v>2</v>
      </c>
      <c r="B3">
        <f>B2+1</f>
        <v>36</v>
      </c>
      <c r="C3" s="3">
        <f>IF(B3&lt;Planner!$B$1,C2*(1+Planner!$B$12),0)</f>
        <v>72800</v>
      </c>
      <c r="D3" s="9">
        <f>C3*Planner!$B$13</f>
        <v>16016</v>
      </c>
      <c r="E3" s="3">
        <f>E2*(1+Planner!$B$11)</f>
        <v>51500</v>
      </c>
      <c r="F3" s="3">
        <f>C3-D3-E3</f>
        <v>5284</v>
      </c>
      <c r="G3" s="3">
        <f>J2</f>
        <v>36400</v>
      </c>
      <c r="H3" s="3">
        <f>G3*IF(B3&lt;Planner!$B$1,Support!$B$5,Support!$B$6)</f>
        <v>2184</v>
      </c>
      <c r="I3" s="3">
        <f t="shared" ref="I3:I66" si="0">MAX(0,-F3)</f>
        <v>0</v>
      </c>
      <c r="J3" s="3">
        <f>G3+H3+F3</f>
        <v>43868</v>
      </c>
      <c r="K3" s="3">
        <f>J3-G3</f>
        <v>7468</v>
      </c>
    </row>
    <row r="4" spans="1:11" x14ac:dyDescent="0.35">
      <c r="A4">
        <f t="shared" ref="A4:A68" si="1">A3+1</f>
        <v>3</v>
      </c>
      <c r="B4">
        <f t="shared" ref="B4:B67" si="2">B3+1</f>
        <v>37</v>
      </c>
      <c r="C4" s="3">
        <f>IF(B4&lt;Planner!$B$1,C3*(1+Planner!$B$12),0)</f>
        <v>75712</v>
      </c>
      <c r="D4" s="9">
        <f>C4*Planner!$B$13</f>
        <v>16656.64</v>
      </c>
      <c r="E4" s="3">
        <f>E3*(1+Planner!$B$11)</f>
        <v>53045</v>
      </c>
      <c r="F4" s="3">
        <f t="shared" ref="F4:F67" si="3">C4-D4-E4</f>
        <v>6010.3600000000006</v>
      </c>
      <c r="G4" s="3">
        <f t="shared" ref="G4:G67" si="4">J3</f>
        <v>43868</v>
      </c>
      <c r="H4" s="3">
        <f>G4*IF(B4&lt;Planner!$B$1,Support!$B$5,Support!$B$6)</f>
        <v>2632.08</v>
      </c>
      <c r="I4" s="3">
        <f t="shared" si="0"/>
        <v>0</v>
      </c>
      <c r="J4" s="3">
        <f t="shared" ref="J4:J67" si="5">G4+H4+F4</f>
        <v>52510.44</v>
      </c>
      <c r="K4" s="3">
        <f t="shared" ref="K4:K67" si="6">J4-G4</f>
        <v>8642.4400000000023</v>
      </c>
    </row>
    <row r="5" spans="1:11" x14ac:dyDescent="0.35">
      <c r="A5">
        <f t="shared" si="1"/>
        <v>4</v>
      </c>
      <c r="B5">
        <f t="shared" si="2"/>
        <v>38</v>
      </c>
      <c r="C5" s="3">
        <f>IF(B5&lt;Planner!$B$1,C4*(1+Planner!$B$12),0)</f>
        <v>78740.479999999996</v>
      </c>
      <c r="D5" s="9">
        <f>C5*Planner!$B$13</f>
        <v>17322.905599999998</v>
      </c>
      <c r="E5" s="3">
        <f>E4*(1+Planner!$B$11)</f>
        <v>54636.35</v>
      </c>
      <c r="F5" s="3">
        <f t="shared" si="3"/>
        <v>6781.2243999999992</v>
      </c>
      <c r="G5" s="3">
        <f t="shared" si="4"/>
        <v>52510.44</v>
      </c>
      <c r="H5" s="3">
        <f>G5*IF(B5&lt;Planner!$B$1,Support!$B$5,Support!$B$6)</f>
        <v>3150.6264000000001</v>
      </c>
      <c r="I5" s="3">
        <f t="shared" si="0"/>
        <v>0</v>
      </c>
      <c r="J5" s="3">
        <f t="shared" si="5"/>
        <v>62442.290800000002</v>
      </c>
      <c r="K5" s="3">
        <f t="shared" si="6"/>
        <v>9931.8508000000002</v>
      </c>
    </row>
    <row r="6" spans="1:11" x14ac:dyDescent="0.35">
      <c r="A6">
        <f t="shared" si="1"/>
        <v>5</v>
      </c>
      <c r="B6">
        <f t="shared" si="2"/>
        <v>39</v>
      </c>
      <c r="C6" s="3">
        <f>IF(B6&lt;Planner!$B$1,C5*(1+Planner!$B$12),0)</f>
        <v>81890.099199999997</v>
      </c>
      <c r="D6" s="9">
        <f>C6*Planner!$B$13</f>
        <v>18015.821823999999</v>
      </c>
      <c r="E6" s="3">
        <f>E5*(1+Planner!$B$11)</f>
        <v>56275.440499999997</v>
      </c>
      <c r="F6" s="3">
        <f t="shared" si="3"/>
        <v>7598.8368760000012</v>
      </c>
      <c r="G6" s="3">
        <f t="shared" si="4"/>
        <v>62442.290800000002</v>
      </c>
      <c r="H6" s="3">
        <f>G6*IF(B6&lt;Planner!$B$1,Support!$B$5,Support!$B$6)</f>
        <v>3746.537448</v>
      </c>
      <c r="I6" s="3">
        <f t="shared" si="0"/>
        <v>0</v>
      </c>
      <c r="J6" s="3">
        <f t="shared" si="5"/>
        <v>73787.665124000006</v>
      </c>
      <c r="K6" s="3">
        <f t="shared" si="6"/>
        <v>11345.374324000004</v>
      </c>
    </row>
    <row r="7" spans="1:11" x14ac:dyDescent="0.35">
      <c r="A7">
        <f t="shared" si="1"/>
        <v>6</v>
      </c>
      <c r="B7">
        <f t="shared" si="2"/>
        <v>40</v>
      </c>
      <c r="C7" s="3">
        <f>IF(B7&lt;Planner!$B$1,C6*(1+Planner!$B$12),0)</f>
        <v>85165.703167999993</v>
      </c>
      <c r="D7" s="9">
        <f>C7*Planner!$B$13</f>
        <v>18736.454696959998</v>
      </c>
      <c r="E7" s="3">
        <f>E6*(1+Planner!$B$11)</f>
        <v>57963.703714999996</v>
      </c>
      <c r="F7" s="3">
        <f t="shared" si="3"/>
        <v>8465.5447560399916</v>
      </c>
      <c r="G7" s="3">
        <f t="shared" si="4"/>
        <v>73787.665124000006</v>
      </c>
      <c r="H7" s="3">
        <f>G7*IF(B7&lt;Planner!$B$1,Support!$B$5,Support!$B$6)</f>
        <v>4427.2599074400005</v>
      </c>
      <c r="I7" s="3">
        <f t="shared" si="0"/>
        <v>0</v>
      </c>
      <c r="J7" s="3">
        <f t="shared" si="5"/>
        <v>86680.469787480004</v>
      </c>
      <c r="K7" s="3">
        <f t="shared" si="6"/>
        <v>12892.804663479998</v>
      </c>
    </row>
    <row r="8" spans="1:11" x14ac:dyDescent="0.35">
      <c r="A8">
        <f t="shared" si="1"/>
        <v>7</v>
      </c>
      <c r="B8">
        <f t="shared" si="2"/>
        <v>41</v>
      </c>
      <c r="C8" s="3">
        <f>IF(B8&lt;Planner!$B$1,C7*(1+Planner!$B$12),0)</f>
        <v>88572.331294719988</v>
      </c>
      <c r="D8" s="9">
        <f>C8*Planner!$B$13</f>
        <v>19485.912884838399</v>
      </c>
      <c r="E8" s="3">
        <f>E7*(1+Planner!$B$11)</f>
        <v>59702.614826450001</v>
      </c>
      <c r="F8" s="3">
        <f t="shared" si="3"/>
        <v>9383.8035834315888</v>
      </c>
      <c r="G8" s="3">
        <f t="shared" si="4"/>
        <v>86680.469787480004</v>
      </c>
      <c r="H8" s="3">
        <f>G8*IF(B8&lt;Planner!$B$1,Support!$B$5,Support!$B$6)</f>
        <v>5200.8281872487996</v>
      </c>
      <c r="I8" s="3">
        <f t="shared" si="0"/>
        <v>0</v>
      </c>
      <c r="J8" s="3">
        <f t="shared" si="5"/>
        <v>101265.10155816039</v>
      </c>
      <c r="K8" s="3">
        <f t="shared" si="6"/>
        <v>14584.631770680382</v>
      </c>
    </row>
    <row r="9" spans="1:11" x14ac:dyDescent="0.35">
      <c r="A9">
        <f t="shared" si="1"/>
        <v>8</v>
      </c>
      <c r="B9">
        <f t="shared" si="2"/>
        <v>42</v>
      </c>
      <c r="C9" s="3">
        <f>IF(B9&lt;Planner!$B$1,C8*(1+Planner!$B$12),0)</f>
        <v>92115.224546508791</v>
      </c>
      <c r="D9" s="9">
        <f>C9*Planner!$B$13</f>
        <v>20265.349400231935</v>
      </c>
      <c r="E9" s="3">
        <f>E8*(1+Planner!$B$11)</f>
        <v>61493.693271243501</v>
      </c>
      <c r="F9" s="3">
        <f t="shared" si="3"/>
        <v>10356.181875033355</v>
      </c>
      <c r="G9" s="3">
        <f t="shared" si="4"/>
        <v>101265.10155816039</v>
      </c>
      <c r="H9" s="3">
        <f>G9*IF(B9&lt;Planner!$B$1,Support!$B$5,Support!$B$6)</f>
        <v>6075.9060934896233</v>
      </c>
      <c r="I9" s="3">
        <f t="shared" si="0"/>
        <v>0</v>
      </c>
      <c r="J9" s="3">
        <f t="shared" si="5"/>
        <v>117697.18952668336</v>
      </c>
      <c r="K9" s="3">
        <f t="shared" si="6"/>
        <v>16432.087968522974</v>
      </c>
    </row>
    <row r="10" spans="1:11" x14ac:dyDescent="0.35">
      <c r="A10">
        <f t="shared" si="1"/>
        <v>9</v>
      </c>
      <c r="B10">
        <f t="shared" si="2"/>
        <v>43</v>
      </c>
      <c r="C10" s="3">
        <f>IF(B10&lt;Planner!$B$1,C9*(1+Planner!$B$12),0)</f>
        <v>95799.833528369141</v>
      </c>
      <c r="D10" s="9">
        <f>C10*Planner!$B$13</f>
        <v>21075.963376241212</v>
      </c>
      <c r="E10" s="3">
        <f>E9*(1+Planner!$B$11)</f>
        <v>63338.504069380804</v>
      </c>
      <c r="F10" s="3">
        <f t="shared" si="3"/>
        <v>11385.366082747125</v>
      </c>
      <c r="G10" s="3">
        <f t="shared" si="4"/>
        <v>117697.18952668336</v>
      </c>
      <c r="H10" s="3">
        <f>G10*IF(B10&lt;Planner!$B$1,Support!$B$5,Support!$B$6)</f>
        <v>7061.8313716010016</v>
      </c>
      <c r="I10" s="3">
        <f t="shared" si="0"/>
        <v>0</v>
      </c>
      <c r="J10" s="3">
        <f t="shared" si="5"/>
        <v>136144.38698103148</v>
      </c>
      <c r="K10" s="3">
        <f t="shared" si="6"/>
        <v>18447.197454348119</v>
      </c>
    </row>
    <row r="11" spans="1:11" x14ac:dyDescent="0.35">
      <c r="A11">
        <f t="shared" si="1"/>
        <v>10</v>
      </c>
      <c r="B11">
        <f t="shared" si="2"/>
        <v>44</v>
      </c>
      <c r="C11" s="3">
        <f>IF(B11&lt;Planner!$B$1,C10*(1+Planner!$B$12),0)</f>
        <v>99631.826869503915</v>
      </c>
      <c r="D11" s="9">
        <f>C11*Planner!$B$13</f>
        <v>21919.001911290863</v>
      </c>
      <c r="E11" s="3">
        <f>E10*(1+Planner!$B$11)</f>
        <v>65238.659191462233</v>
      </c>
      <c r="F11" s="3">
        <f t="shared" si="3"/>
        <v>12474.165766750819</v>
      </c>
      <c r="G11" s="3">
        <f t="shared" si="4"/>
        <v>136144.38698103148</v>
      </c>
      <c r="H11" s="3">
        <f>G11*IF(B11&lt;Planner!$B$1,Support!$B$5,Support!$B$6)</f>
        <v>8168.6632188618887</v>
      </c>
      <c r="I11" s="3">
        <f t="shared" si="0"/>
        <v>0</v>
      </c>
      <c r="J11" s="3">
        <f t="shared" si="5"/>
        <v>156787.21596664417</v>
      </c>
      <c r="K11" s="3">
        <f t="shared" si="6"/>
        <v>20642.828985612694</v>
      </c>
    </row>
    <row r="12" spans="1:11" x14ac:dyDescent="0.35">
      <c r="A12">
        <f t="shared" si="1"/>
        <v>11</v>
      </c>
      <c r="B12">
        <f t="shared" si="2"/>
        <v>45</v>
      </c>
      <c r="C12" s="3">
        <f>IF(B12&lt;Planner!$B$1,C11*(1+Planner!$B$12),0)</f>
        <v>103617.09994428407</v>
      </c>
      <c r="D12" s="9">
        <f>C12*Planner!$B$13</f>
        <v>22795.761987742495</v>
      </c>
      <c r="E12" s="3">
        <f>E11*(1+Planner!$B$11)</f>
        <v>67195.818967206098</v>
      </c>
      <c r="F12" s="3">
        <f t="shared" si="3"/>
        <v>13625.518989335469</v>
      </c>
      <c r="G12" s="3">
        <f t="shared" si="4"/>
        <v>156787.21596664417</v>
      </c>
      <c r="H12" s="3">
        <f>G12*IF(B12&lt;Planner!$B$1,Support!$B$5,Support!$B$6)</f>
        <v>9407.2329579986508</v>
      </c>
      <c r="I12" s="3">
        <f t="shared" si="0"/>
        <v>0</v>
      </c>
      <c r="J12" s="3">
        <f t="shared" si="5"/>
        <v>179819.96791397827</v>
      </c>
      <c r="K12" s="3">
        <f t="shared" si="6"/>
        <v>23032.751947334094</v>
      </c>
    </row>
    <row r="13" spans="1:11" x14ac:dyDescent="0.35">
      <c r="A13">
        <f t="shared" si="1"/>
        <v>12</v>
      </c>
      <c r="B13">
        <f t="shared" si="2"/>
        <v>46</v>
      </c>
      <c r="C13" s="3">
        <f>IF(B13&lt;Planner!$B$1,C12*(1+Planner!$B$12),0)</f>
        <v>107761.78394205544</v>
      </c>
      <c r="D13" s="9">
        <f>C13*Planner!$B$13</f>
        <v>23707.592467252198</v>
      </c>
      <c r="E13" s="3">
        <f>E12*(1+Planner!$B$11)</f>
        <v>69211.693536222287</v>
      </c>
      <c r="F13" s="3">
        <f t="shared" si="3"/>
        <v>14842.497938580957</v>
      </c>
      <c r="G13" s="3">
        <f t="shared" si="4"/>
        <v>179819.96791397827</v>
      </c>
      <c r="H13" s="3">
        <f>G13*IF(B13&lt;Planner!$B$1,Support!$B$5,Support!$B$6)</f>
        <v>10789.198074838696</v>
      </c>
      <c r="I13" s="3">
        <f t="shared" si="0"/>
        <v>0</v>
      </c>
      <c r="J13" s="3">
        <f t="shared" si="5"/>
        <v>205451.66392739792</v>
      </c>
      <c r="K13" s="3">
        <f t="shared" si="6"/>
        <v>25631.696013419656</v>
      </c>
    </row>
    <row r="14" spans="1:11" x14ac:dyDescent="0.35">
      <c r="A14">
        <f t="shared" si="1"/>
        <v>13</v>
      </c>
      <c r="B14">
        <f t="shared" si="2"/>
        <v>47</v>
      </c>
      <c r="C14" s="3">
        <f>IF(B14&lt;Planner!$B$1,C13*(1+Planner!$B$12),0)</f>
        <v>112072.25529973766</v>
      </c>
      <c r="D14" s="9">
        <f>C14*Planner!$B$13</f>
        <v>24655.896165942286</v>
      </c>
      <c r="E14" s="3">
        <f>E13*(1+Planner!$B$11)</f>
        <v>71288.04434230896</v>
      </c>
      <c r="F14" s="3">
        <f t="shared" si="3"/>
        <v>16128.314791486409</v>
      </c>
      <c r="G14" s="3">
        <f t="shared" si="4"/>
        <v>205451.66392739792</v>
      </c>
      <c r="H14" s="3">
        <f>G14*IF(B14&lt;Planner!$B$1,Support!$B$5,Support!$B$6)</f>
        <v>12327.099835643876</v>
      </c>
      <c r="I14" s="3">
        <f t="shared" si="0"/>
        <v>0</v>
      </c>
      <c r="J14" s="3">
        <f t="shared" si="5"/>
        <v>233907.07855452818</v>
      </c>
      <c r="K14" s="3">
        <f t="shared" si="6"/>
        <v>28455.41462713026</v>
      </c>
    </row>
    <row r="15" spans="1:11" x14ac:dyDescent="0.35">
      <c r="A15">
        <f t="shared" si="1"/>
        <v>14</v>
      </c>
      <c r="B15">
        <f t="shared" si="2"/>
        <v>48</v>
      </c>
      <c r="C15" s="3">
        <f>IF(B15&lt;Planner!$B$1,C14*(1+Planner!$B$12),0)</f>
        <v>116555.14551172717</v>
      </c>
      <c r="D15" s="9">
        <f>C15*Planner!$B$13</f>
        <v>25642.132012579976</v>
      </c>
      <c r="E15" s="3">
        <f>E14*(1+Planner!$B$11)</f>
        <v>73426.685672578227</v>
      </c>
      <c r="F15" s="3">
        <f t="shared" si="3"/>
        <v>17486.327826568973</v>
      </c>
      <c r="G15" s="3">
        <f t="shared" si="4"/>
        <v>233907.07855452818</v>
      </c>
      <c r="H15" s="3">
        <f>G15*IF(B15&lt;Planner!$B$1,Support!$B$5,Support!$B$6)</f>
        <v>14034.42471327169</v>
      </c>
      <c r="I15" s="3">
        <f t="shared" si="0"/>
        <v>0</v>
      </c>
      <c r="J15" s="3">
        <f t="shared" si="5"/>
        <v>265427.83109436883</v>
      </c>
      <c r="K15" s="3">
        <f t="shared" si="6"/>
        <v>31520.752539840643</v>
      </c>
    </row>
    <row r="16" spans="1:11" x14ac:dyDescent="0.35">
      <c r="A16">
        <f t="shared" si="1"/>
        <v>15</v>
      </c>
      <c r="B16">
        <f t="shared" si="2"/>
        <v>49</v>
      </c>
      <c r="C16" s="3">
        <f>IF(B16&lt;Planner!$B$1,C15*(1+Planner!$B$12),0)</f>
        <v>121217.35133219625</v>
      </c>
      <c r="D16" s="9">
        <f>C16*Planner!$B$13</f>
        <v>26667.817293083175</v>
      </c>
      <c r="E16" s="3">
        <f>E15*(1+Planner!$B$11)</f>
        <v>75629.486242755578</v>
      </c>
      <c r="F16" s="3">
        <f t="shared" si="3"/>
        <v>18920.047796357496</v>
      </c>
      <c r="G16" s="3">
        <f t="shared" si="4"/>
        <v>265427.83109436883</v>
      </c>
      <c r="H16" s="3">
        <f>G16*IF(B16&lt;Planner!$B$1,Support!$B$5,Support!$B$6)</f>
        <v>15925.669865662128</v>
      </c>
      <c r="I16" s="3">
        <f t="shared" si="0"/>
        <v>0</v>
      </c>
      <c r="J16" s="3">
        <f t="shared" si="5"/>
        <v>300273.54875638842</v>
      </c>
      <c r="K16" s="3">
        <f t="shared" si="6"/>
        <v>34845.717662019597</v>
      </c>
    </row>
    <row r="17" spans="1:11" x14ac:dyDescent="0.35">
      <c r="A17">
        <f t="shared" si="1"/>
        <v>16</v>
      </c>
      <c r="B17">
        <f t="shared" si="2"/>
        <v>50</v>
      </c>
      <c r="C17" s="3">
        <f>IF(B17&lt;Planner!$B$1,C16*(1+Planner!$B$12),0)</f>
        <v>126066.0453854841</v>
      </c>
      <c r="D17" s="9">
        <f>C17*Planner!$B$13</f>
        <v>27734.529984806504</v>
      </c>
      <c r="E17" s="3">
        <f>E16*(1+Planner!$B$11)</f>
        <v>77898.370830038242</v>
      </c>
      <c r="F17" s="3">
        <f t="shared" si="3"/>
        <v>20433.144570639357</v>
      </c>
      <c r="G17" s="3">
        <f t="shared" si="4"/>
        <v>300273.54875638842</v>
      </c>
      <c r="H17" s="3">
        <f>G17*IF(B17&lt;Planner!$B$1,Support!$B$5,Support!$B$6)</f>
        <v>18016.412925383305</v>
      </c>
      <c r="I17" s="3">
        <f t="shared" si="0"/>
        <v>0</v>
      </c>
      <c r="J17" s="3">
        <f t="shared" si="5"/>
        <v>338723.10625241109</v>
      </c>
      <c r="K17" s="3">
        <f t="shared" si="6"/>
        <v>38449.557496022666</v>
      </c>
    </row>
    <row r="18" spans="1:11" x14ac:dyDescent="0.35">
      <c r="A18">
        <f t="shared" si="1"/>
        <v>17</v>
      </c>
      <c r="B18">
        <f t="shared" si="2"/>
        <v>51</v>
      </c>
      <c r="C18" s="3">
        <f>IF(B18&lt;Planner!$B$1,C17*(1+Planner!$B$12),0)</f>
        <v>131108.68720090349</v>
      </c>
      <c r="D18" s="9">
        <f>C18*Planner!$B$13</f>
        <v>28843.911184198765</v>
      </c>
      <c r="E18" s="3">
        <f>E17*(1+Planner!$B$11)</f>
        <v>80235.321954939398</v>
      </c>
      <c r="F18" s="3">
        <f t="shared" si="3"/>
        <v>22029.454061765326</v>
      </c>
      <c r="G18" s="3">
        <f t="shared" si="4"/>
        <v>338723.10625241109</v>
      </c>
      <c r="H18" s="3">
        <f>G18*IF(B18&lt;Planner!$B$1,Support!$B$5,Support!$B$6)</f>
        <v>20323.386375144666</v>
      </c>
      <c r="I18" s="3">
        <f t="shared" si="0"/>
        <v>0</v>
      </c>
      <c r="J18" s="3">
        <f t="shared" si="5"/>
        <v>381075.94668932108</v>
      </c>
      <c r="K18" s="3">
        <f t="shared" si="6"/>
        <v>42352.840436909988</v>
      </c>
    </row>
    <row r="19" spans="1:11" x14ac:dyDescent="0.35">
      <c r="A19">
        <f t="shared" si="1"/>
        <v>18</v>
      </c>
      <c r="B19">
        <f t="shared" si="2"/>
        <v>52</v>
      </c>
      <c r="C19" s="3">
        <f>IF(B19&lt;Planner!$B$1,C18*(1+Planner!$B$12),0)</f>
        <v>136353.03468893963</v>
      </c>
      <c r="D19" s="9">
        <f>C19*Planner!$B$13</f>
        <v>29997.667631566717</v>
      </c>
      <c r="E19" s="3">
        <f>E18*(1+Planner!$B$11)</f>
        <v>82642.381613587582</v>
      </c>
      <c r="F19" s="3">
        <f t="shared" si="3"/>
        <v>23712.985443785336</v>
      </c>
      <c r="G19" s="3">
        <f t="shared" si="4"/>
        <v>381075.94668932108</v>
      </c>
      <c r="H19" s="3">
        <f>G19*IF(B19&lt;Planner!$B$1,Support!$B$5,Support!$B$6)</f>
        <v>22864.556801359264</v>
      </c>
      <c r="I19" s="3">
        <f t="shared" si="0"/>
        <v>0</v>
      </c>
      <c r="J19" s="3">
        <f t="shared" si="5"/>
        <v>427653.48893446568</v>
      </c>
      <c r="K19" s="3">
        <f t="shared" si="6"/>
        <v>46577.542245144607</v>
      </c>
    </row>
    <row r="20" spans="1:11" x14ac:dyDescent="0.35">
      <c r="A20">
        <f t="shared" si="1"/>
        <v>19</v>
      </c>
      <c r="B20">
        <f t="shared" si="2"/>
        <v>53</v>
      </c>
      <c r="C20" s="3">
        <f>IF(B20&lt;Planner!$B$1,C19*(1+Planner!$B$12),0)</f>
        <v>141807.15607649722</v>
      </c>
      <c r="D20" s="9">
        <f>C20*Planner!$B$13</f>
        <v>31197.574336829388</v>
      </c>
      <c r="E20" s="3">
        <f>E19*(1+Planner!$B$11)</f>
        <v>85121.65306199521</v>
      </c>
      <c r="F20" s="3">
        <f t="shared" si="3"/>
        <v>25487.928677672622</v>
      </c>
      <c r="G20" s="3">
        <f t="shared" si="4"/>
        <v>427653.48893446568</v>
      </c>
      <c r="H20" s="3">
        <f>G20*IF(B20&lt;Planner!$B$1,Support!$B$5,Support!$B$6)</f>
        <v>25659.209336067939</v>
      </c>
      <c r="I20" s="3">
        <f t="shared" si="0"/>
        <v>0</v>
      </c>
      <c r="J20" s="3">
        <f t="shared" si="5"/>
        <v>478800.62694820628</v>
      </c>
      <c r="K20" s="3">
        <f t="shared" si="6"/>
        <v>51147.138013740594</v>
      </c>
    </row>
    <row r="21" spans="1:11" x14ac:dyDescent="0.35">
      <c r="A21">
        <f t="shared" si="1"/>
        <v>20</v>
      </c>
      <c r="B21">
        <f t="shared" si="2"/>
        <v>54</v>
      </c>
      <c r="C21" s="3">
        <f>IF(B21&lt;Planner!$B$1,C20*(1+Planner!$B$12),0)</f>
        <v>147479.44231955713</v>
      </c>
      <c r="D21" s="9">
        <f>C21*Planner!$B$13</f>
        <v>32445.477310302569</v>
      </c>
      <c r="E21" s="3">
        <f>E20*(1+Planner!$B$11)</f>
        <v>87675.302653855062</v>
      </c>
      <c r="F21" s="3">
        <f t="shared" si="3"/>
        <v>27358.662355399501</v>
      </c>
      <c r="G21" s="3">
        <f t="shared" si="4"/>
        <v>478800.62694820628</v>
      </c>
      <c r="H21" s="3">
        <f>G21*IF(B21&lt;Planner!$B$1,Support!$B$5,Support!$B$6)</f>
        <v>28728.037616892376</v>
      </c>
      <c r="I21" s="3">
        <f t="shared" si="0"/>
        <v>0</v>
      </c>
      <c r="J21" s="3">
        <f t="shared" si="5"/>
        <v>534887.32692049816</v>
      </c>
      <c r="K21" s="3">
        <f t="shared" si="6"/>
        <v>56086.699972291884</v>
      </c>
    </row>
    <row r="22" spans="1:11" x14ac:dyDescent="0.35">
      <c r="A22">
        <f t="shared" si="1"/>
        <v>21</v>
      </c>
      <c r="B22">
        <f t="shared" si="2"/>
        <v>55</v>
      </c>
      <c r="C22" s="3">
        <f>IF(B22&lt;Planner!$B$1,C21*(1+Planner!$B$12),0)</f>
        <v>153378.62001233941</v>
      </c>
      <c r="D22" s="9">
        <f>C22*Planner!$B$13</f>
        <v>33743.296402714674</v>
      </c>
      <c r="E22" s="3">
        <f>E21*(1+Planner!$B$11)</f>
        <v>90305.56173347072</v>
      </c>
      <c r="F22" s="3">
        <f t="shared" si="3"/>
        <v>29329.761876154007</v>
      </c>
      <c r="G22" s="3">
        <f t="shared" si="4"/>
        <v>534887.32692049816</v>
      </c>
      <c r="H22" s="3">
        <f>G22*IF(B22&lt;Planner!$B$1,Support!$B$5,Support!$B$6)</f>
        <v>32093.23961522989</v>
      </c>
      <c r="I22" s="3">
        <f t="shared" si="0"/>
        <v>0</v>
      </c>
      <c r="J22" s="3">
        <f t="shared" si="5"/>
        <v>596310.32841188204</v>
      </c>
      <c r="K22" s="3">
        <f t="shared" si="6"/>
        <v>61423.001491383882</v>
      </c>
    </row>
    <row r="23" spans="1:11" x14ac:dyDescent="0.35">
      <c r="A23">
        <f t="shared" si="1"/>
        <v>22</v>
      </c>
      <c r="B23">
        <f t="shared" si="2"/>
        <v>56</v>
      </c>
      <c r="C23" s="3">
        <f>IF(B23&lt;Planner!$B$1,C22*(1+Planner!$B$12),0)</f>
        <v>159513.76481283299</v>
      </c>
      <c r="D23" s="9">
        <f>C23*Planner!$B$13</f>
        <v>35093.028258823259</v>
      </c>
      <c r="E23" s="3">
        <f>E22*(1+Planner!$B$11)</f>
        <v>93014.728585474848</v>
      </c>
      <c r="F23" s="3">
        <f t="shared" si="3"/>
        <v>31406.007968534876</v>
      </c>
      <c r="G23" s="3">
        <f t="shared" si="4"/>
        <v>596310.32841188204</v>
      </c>
      <c r="H23" s="3">
        <f>G23*IF(B23&lt;Planner!$B$1,Support!$B$5,Support!$B$6)</f>
        <v>35778.619704712924</v>
      </c>
      <c r="I23" s="3">
        <f t="shared" si="0"/>
        <v>0</v>
      </c>
      <c r="J23" s="3">
        <f t="shared" si="5"/>
        <v>663494.95608512976</v>
      </c>
      <c r="K23" s="3">
        <f t="shared" si="6"/>
        <v>67184.627673247713</v>
      </c>
    </row>
    <row r="24" spans="1:11" x14ac:dyDescent="0.35">
      <c r="A24">
        <f t="shared" si="1"/>
        <v>23</v>
      </c>
      <c r="B24">
        <f t="shared" si="2"/>
        <v>57</v>
      </c>
      <c r="C24" s="3">
        <f>IF(B24&lt;Planner!$B$1,C23*(1+Planner!$B$12),0)</f>
        <v>165894.31540534631</v>
      </c>
      <c r="D24" s="9">
        <f>C24*Planner!$B$13</f>
        <v>36496.749389176191</v>
      </c>
      <c r="E24" s="3">
        <f>E23*(1+Planner!$B$11)</f>
        <v>95805.170443039096</v>
      </c>
      <c r="F24" s="3">
        <f t="shared" si="3"/>
        <v>33592.395573131012</v>
      </c>
      <c r="G24" s="3">
        <f t="shared" si="4"/>
        <v>663494.95608512976</v>
      </c>
      <c r="H24" s="3">
        <f>G24*IF(B24&lt;Planner!$B$1,Support!$B$5,Support!$B$6)</f>
        <v>39809.697365107786</v>
      </c>
      <c r="I24" s="3">
        <f t="shared" si="0"/>
        <v>0</v>
      </c>
      <c r="J24" s="3">
        <f t="shared" si="5"/>
        <v>736897.04902336863</v>
      </c>
      <c r="K24" s="3">
        <f t="shared" si="6"/>
        <v>73402.092938238871</v>
      </c>
    </row>
    <row r="25" spans="1:11" x14ac:dyDescent="0.35">
      <c r="A25">
        <f t="shared" si="1"/>
        <v>24</v>
      </c>
      <c r="B25">
        <f t="shared" si="2"/>
        <v>58</v>
      </c>
      <c r="C25" s="3">
        <f>IF(B25&lt;Planner!$B$1,C24*(1+Planner!$B$12),0)</f>
        <v>172530.08802156016</v>
      </c>
      <c r="D25" s="9">
        <f>C25*Planner!$B$13</f>
        <v>37956.619364743237</v>
      </c>
      <c r="E25" s="3">
        <f>E24*(1+Planner!$B$11)</f>
        <v>98679.325556330266</v>
      </c>
      <c r="F25" s="3">
        <f t="shared" si="3"/>
        <v>35894.143100486661</v>
      </c>
      <c r="G25" s="3">
        <f t="shared" si="4"/>
        <v>736897.04902336863</v>
      </c>
      <c r="H25" s="3">
        <f>G25*IF(B25&lt;Planner!$B$1,Support!$B$5,Support!$B$6)</f>
        <v>44213.822941402119</v>
      </c>
      <c r="I25" s="3">
        <f t="shared" si="0"/>
        <v>0</v>
      </c>
      <c r="J25" s="3">
        <f t="shared" si="5"/>
        <v>817005.01506525744</v>
      </c>
      <c r="K25" s="3">
        <f t="shared" si="6"/>
        <v>80107.966041888809</v>
      </c>
    </row>
    <row r="26" spans="1:11" x14ac:dyDescent="0.35">
      <c r="A26">
        <f t="shared" si="1"/>
        <v>25</v>
      </c>
      <c r="B26">
        <f t="shared" si="2"/>
        <v>59</v>
      </c>
      <c r="C26" s="3">
        <f>IF(B26&lt;Planner!$B$1,C25*(1+Planner!$B$12),0)</f>
        <v>179431.29154242258</v>
      </c>
      <c r="D26" s="9">
        <f>C26*Planner!$B$13</f>
        <v>39474.884139332971</v>
      </c>
      <c r="E26" s="3">
        <f>E25*(1+Planner!$B$11)</f>
        <v>101639.70532302017</v>
      </c>
      <c r="F26" s="3">
        <f t="shared" si="3"/>
        <v>38316.70208006943</v>
      </c>
      <c r="G26" s="3">
        <f t="shared" si="4"/>
        <v>817005.01506525744</v>
      </c>
      <c r="H26" s="3">
        <f>G26*IF(B26&lt;Planner!$B$1,Support!$B$5,Support!$B$6)</f>
        <v>49020.300903915442</v>
      </c>
      <c r="I26" s="3">
        <f t="shared" si="0"/>
        <v>0</v>
      </c>
      <c r="J26" s="3">
        <f t="shared" si="5"/>
        <v>904342.01804924232</v>
      </c>
      <c r="K26" s="3">
        <f t="shared" si="6"/>
        <v>87337.002983984887</v>
      </c>
    </row>
    <row r="27" spans="1:11" x14ac:dyDescent="0.35">
      <c r="A27">
        <f t="shared" si="1"/>
        <v>26</v>
      </c>
      <c r="B27">
        <f t="shared" si="2"/>
        <v>60</v>
      </c>
      <c r="C27" s="3">
        <f>IF(B27&lt;Planner!$B$1,C26*(1+Planner!$B$12),0)</f>
        <v>186608.54320411949</v>
      </c>
      <c r="D27" s="9">
        <f>C27*Planner!$B$13</f>
        <v>41053.87950490629</v>
      </c>
      <c r="E27" s="3">
        <f>E26*(1+Planner!$B$11)</f>
        <v>104688.89648271078</v>
      </c>
      <c r="F27" s="3">
        <f t="shared" si="3"/>
        <v>40865.767216502398</v>
      </c>
      <c r="G27" s="3">
        <f t="shared" si="4"/>
        <v>904342.01804924232</v>
      </c>
      <c r="H27" s="3">
        <f>G27*IF(B27&lt;Planner!$B$1,Support!$B$5,Support!$B$6)</f>
        <v>54260.521082954539</v>
      </c>
      <c r="I27" s="3">
        <f t="shared" si="0"/>
        <v>0</v>
      </c>
      <c r="J27" s="3">
        <f t="shared" si="5"/>
        <v>999468.30634869938</v>
      </c>
      <c r="K27" s="3">
        <f t="shared" si="6"/>
        <v>95126.288299457054</v>
      </c>
    </row>
    <row r="28" spans="1:11" x14ac:dyDescent="0.35">
      <c r="A28">
        <f t="shared" si="1"/>
        <v>27</v>
      </c>
      <c r="B28">
        <f t="shared" si="2"/>
        <v>61</v>
      </c>
      <c r="C28" s="3">
        <f>IF(B28&lt;Planner!$B$1,C27*(1+Planner!$B$12),0)</f>
        <v>194072.88493228427</v>
      </c>
      <c r="D28" s="9">
        <f>C28*Planner!$B$13</f>
        <v>42696.034685102539</v>
      </c>
      <c r="E28" s="3">
        <f>E27*(1+Planner!$B$11)</f>
        <v>107829.56337719211</v>
      </c>
      <c r="F28" s="3">
        <f t="shared" si="3"/>
        <v>43547.286869989606</v>
      </c>
      <c r="G28" s="3">
        <f t="shared" si="4"/>
        <v>999468.30634869938</v>
      </c>
      <c r="H28" s="3">
        <f>G28*IF(B28&lt;Planner!$B$1,Support!$B$5,Support!$B$6)</f>
        <v>59968.098380921962</v>
      </c>
      <c r="I28" s="3">
        <f t="shared" si="0"/>
        <v>0</v>
      </c>
      <c r="J28" s="3">
        <f t="shared" si="5"/>
        <v>1102983.691599611</v>
      </c>
      <c r="K28" s="3">
        <f t="shared" si="6"/>
        <v>103515.38525091158</v>
      </c>
    </row>
    <row r="29" spans="1:11" x14ac:dyDescent="0.35">
      <c r="A29">
        <f t="shared" si="1"/>
        <v>28</v>
      </c>
      <c r="B29">
        <f t="shared" si="2"/>
        <v>62</v>
      </c>
      <c r="C29" s="3">
        <f>IF(B29&lt;Planner!$B$1,C28*(1+Planner!$B$12),0)</f>
        <v>201835.80032957566</v>
      </c>
      <c r="D29" s="9">
        <f>C29*Planner!$B$13</f>
        <v>44403.876072506646</v>
      </c>
      <c r="E29" s="3">
        <f>E28*(1+Planner!$B$11)</f>
        <v>111064.45027850788</v>
      </c>
      <c r="F29" s="3">
        <f t="shared" si="3"/>
        <v>46367.473978561131</v>
      </c>
      <c r="G29" s="3">
        <f t="shared" si="4"/>
        <v>1102983.691599611</v>
      </c>
      <c r="H29" s="3">
        <f>G29*IF(B29&lt;Planner!$B$1,Support!$B$5,Support!$B$6)</f>
        <v>66179.02149597666</v>
      </c>
      <c r="I29" s="3">
        <f t="shared" si="0"/>
        <v>0</v>
      </c>
      <c r="J29" s="3">
        <f t="shared" si="5"/>
        <v>1215530.1870741488</v>
      </c>
      <c r="K29" s="3">
        <f t="shared" si="6"/>
        <v>112546.49547453783</v>
      </c>
    </row>
    <row r="30" spans="1:11" x14ac:dyDescent="0.35">
      <c r="A30">
        <f t="shared" si="1"/>
        <v>29</v>
      </c>
      <c r="B30">
        <f t="shared" si="2"/>
        <v>63</v>
      </c>
      <c r="C30" s="3">
        <f>IF(B30&lt;Planner!$B$1,C29*(1+Planner!$B$12),0)</f>
        <v>209909.23234275871</v>
      </c>
      <c r="D30" s="9">
        <f>C30*Planner!$B$13</f>
        <v>46180.031115406913</v>
      </c>
      <c r="E30" s="3">
        <f>E29*(1+Planner!$B$11)</f>
        <v>114396.38378686312</v>
      </c>
      <c r="F30" s="3">
        <f t="shared" si="3"/>
        <v>49332.817440488667</v>
      </c>
      <c r="G30" s="3">
        <f t="shared" si="4"/>
        <v>1215530.1870741488</v>
      </c>
      <c r="H30" s="3">
        <f>G30*IF(B30&lt;Planner!$B$1,Support!$B$5,Support!$B$6)</f>
        <v>72931.811224448931</v>
      </c>
      <c r="I30" s="3">
        <f t="shared" si="0"/>
        <v>0</v>
      </c>
      <c r="J30" s="3">
        <f t="shared" si="5"/>
        <v>1337794.8157390864</v>
      </c>
      <c r="K30" s="3">
        <f t="shared" si="6"/>
        <v>122264.62866493757</v>
      </c>
    </row>
    <row r="31" spans="1:11" x14ac:dyDescent="0.35">
      <c r="A31">
        <f t="shared" si="1"/>
        <v>30</v>
      </c>
      <c r="B31">
        <f t="shared" si="2"/>
        <v>64</v>
      </c>
      <c r="C31" s="3">
        <f>IF(B31&lt;Planner!$B$1,C30*(1+Planner!$B$12),0)</f>
        <v>218305.60163646907</v>
      </c>
      <c r="D31" s="9">
        <f>C31*Planner!$B$13</f>
        <v>48027.232360023198</v>
      </c>
      <c r="E31" s="3">
        <f>E30*(1+Planner!$B$11)</f>
        <v>117828.27530046902</v>
      </c>
      <c r="F31" s="3">
        <f t="shared" si="3"/>
        <v>52450.093975976866</v>
      </c>
      <c r="G31" s="3">
        <f t="shared" si="4"/>
        <v>1337794.8157390864</v>
      </c>
      <c r="H31" s="3">
        <f>G31*IF(B31&lt;Planner!$B$1,Support!$B$5,Support!$B$6)</f>
        <v>80267.68894434518</v>
      </c>
      <c r="I31" s="3">
        <f t="shared" si="0"/>
        <v>0</v>
      </c>
      <c r="J31" s="3">
        <f t="shared" si="5"/>
        <v>1470512.5986594083</v>
      </c>
      <c r="K31" s="3">
        <f t="shared" si="6"/>
        <v>132717.78292032192</v>
      </c>
    </row>
    <row r="32" spans="1:11" x14ac:dyDescent="0.35">
      <c r="A32">
        <f t="shared" si="1"/>
        <v>31</v>
      </c>
      <c r="B32">
        <f t="shared" si="2"/>
        <v>65</v>
      </c>
      <c r="C32" s="3">
        <f>IF(B32&lt;Planner!$B$1,C31*(1+Planner!$B$12),0)</f>
        <v>0</v>
      </c>
      <c r="D32" s="9">
        <f>C32*Planner!$B$13</f>
        <v>0</v>
      </c>
      <c r="E32" s="3">
        <f>E31*(1+Planner!$B$11)</f>
        <v>121363.12355948309</v>
      </c>
      <c r="F32" s="3">
        <f t="shared" si="3"/>
        <v>-121363.12355948309</v>
      </c>
      <c r="G32" s="3">
        <f t="shared" si="4"/>
        <v>1470512.5986594083</v>
      </c>
      <c r="H32" s="3">
        <f>G32*IF(B32&lt;Planner!$B$1,Support!$B$5,Support!$B$6)</f>
        <v>58820.503946376331</v>
      </c>
      <c r="I32" s="3">
        <f t="shared" si="0"/>
        <v>121363.12355948309</v>
      </c>
      <c r="J32" s="3">
        <f t="shared" si="5"/>
        <v>1407969.9790463015</v>
      </c>
      <c r="K32" s="3">
        <f t="shared" si="6"/>
        <v>-62542.619613106828</v>
      </c>
    </row>
    <row r="33" spans="1:11" x14ac:dyDescent="0.35">
      <c r="A33">
        <f t="shared" si="1"/>
        <v>32</v>
      </c>
      <c r="B33">
        <f t="shared" si="2"/>
        <v>66</v>
      </c>
      <c r="C33" s="3">
        <f>IF(B33&lt;Planner!$B$1,C32*(1+Planner!$B$12),0)</f>
        <v>0</v>
      </c>
      <c r="D33" s="9">
        <f>C33*Planner!$B$13</f>
        <v>0</v>
      </c>
      <c r="E33" s="3">
        <f>E32*(1+Planner!$B$11)</f>
        <v>125004.01726626759</v>
      </c>
      <c r="F33" s="3">
        <f t="shared" si="3"/>
        <v>-125004.01726626759</v>
      </c>
      <c r="G33" s="3">
        <f t="shared" si="4"/>
        <v>1407969.9790463015</v>
      </c>
      <c r="H33" s="3">
        <f>G33*IF(B33&lt;Planner!$B$1,Support!$B$5,Support!$B$6)</f>
        <v>56318.799161852061</v>
      </c>
      <c r="I33" s="3">
        <f t="shared" si="0"/>
        <v>125004.01726626759</v>
      </c>
      <c r="J33" s="3">
        <f t="shared" si="5"/>
        <v>1339284.7609418859</v>
      </c>
      <c r="K33" s="3">
        <f t="shared" si="6"/>
        <v>-68685.218104415573</v>
      </c>
    </row>
    <row r="34" spans="1:11" x14ac:dyDescent="0.35">
      <c r="A34">
        <f t="shared" si="1"/>
        <v>33</v>
      </c>
      <c r="B34">
        <f t="shared" si="2"/>
        <v>67</v>
      </c>
      <c r="C34" s="3">
        <f>IF(B34&lt;Planner!$B$1,C33*(1+Planner!$B$12),0)</f>
        <v>0</v>
      </c>
      <c r="D34" s="9">
        <f>C34*Planner!$B$13</f>
        <v>0</v>
      </c>
      <c r="E34" s="3">
        <f>E33*(1+Planner!$B$11)</f>
        <v>128754.13778425562</v>
      </c>
      <c r="F34" s="3">
        <f t="shared" si="3"/>
        <v>-128754.13778425562</v>
      </c>
      <c r="G34" s="3">
        <f t="shared" si="4"/>
        <v>1339284.7609418859</v>
      </c>
      <c r="H34" s="3">
        <f>G34*IF(B34&lt;Planner!$B$1,Support!$B$5,Support!$B$6)</f>
        <v>53571.390437675436</v>
      </c>
      <c r="I34" s="3">
        <f t="shared" si="0"/>
        <v>128754.13778425562</v>
      </c>
      <c r="J34" s="3">
        <f t="shared" si="5"/>
        <v>1264102.0135953056</v>
      </c>
      <c r="K34" s="3">
        <f t="shared" si="6"/>
        <v>-75182.747346580261</v>
      </c>
    </row>
    <row r="35" spans="1:11" x14ac:dyDescent="0.35">
      <c r="A35">
        <f t="shared" si="1"/>
        <v>34</v>
      </c>
      <c r="B35">
        <f t="shared" si="2"/>
        <v>68</v>
      </c>
      <c r="C35" s="3">
        <f>IF(B35&lt;Planner!$B$1,C34*(1+Planner!$B$12),0)</f>
        <v>0</v>
      </c>
      <c r="D35" s="9">
        <f>C35*Planner!$B$13</f>
        <v>0</v>
      </c>
      <c r="E35" s="3">
        <f>E34*(1+Planner!$B$11)</f>
        <v>132616.7619177833</v>
      </c>
      <c r="F35" s="3">
        <f t="shared" si="3"/>
        <v>-132616.7619177833</v>
      </c>
      <c r="G35" s="3">
        <f t="shared" si="4"/>
        <v>1264102.0135953056</v>
      </c>
      <c r="H35" s="3">
        <f>G35*IF(B35&lt;Planner!$B$1,Support!$B$5,Support!$B$6)</f>
        <v>50564.080543812226</v>
      </c>
      <c r="I35" s="3">
        <f t="shared" si="0"/>
        <v>132616.7619177833</v>
      </c>
      <c r="J35" s="3">
        <f t="shared" si="5"/>
        <v>1182049.3322213343</v>
      </c>
      <c r="K35" s="3">
        <f t="shared" si="6"/>
        <v>-82052.681373971282</v>
      </c>
    </row>
    <row r="36" spans="1:11" x14ac:dyDescent="0.35">
      <c r="A36">
        <f t="shared" si="1"/>
        <v>35</v>
      </c>
      <c r="B36">
        <f t="shared" si="2"/>
        <v>69</v>
      </c>
      <c r="C36" s="3">
        <f>IF(B36&lt;Planner!$B$1,C35*(1+Planner!$B$12),0)</f>
        <v>0</v>
      </c>
      <c r="D36" s="9">
        <f>C36*Planner!$B$13</f>
        <v>0</v>
      </c>
      <c r="E36" s="3">
        <f>E35*(1+Planner!$B$11)</f>
        <v>136595.26477531681</v>
      </c>
      <c r="F36" s="3">
        <f t="shared" si="3"/>
        <v>-136595.26477531681</v>
      </c>
      <c r="G36" s="3">
        <f t="shared" si="4"/>
        <v>1182049.3322213343</v>
      </c>
      <c r="H36" s="3">
        <f>G36*IF(B36&lt;Planner!$B$1,Support!$B$5,Support!$B$6)</f>
        <v>47281.973288853376</v>
      </c>
      <c r="I36" s="3">
        <f t="shared" si="0"/>
        <v>136595.26477531681</v>
      </c>
      <c r="J36" s="3">
        <f t="shared" si="5"/>
        <v>1092736.0407348708</v>
      </c>
      <c r="K36" s="3">
        <f t="shared" si="6"/>
        <v>-89313.29148646351</v>
      </c>
    </row>
    <row r="37" spans="1:11" x14ac:dyDescent="0.35">
      <c r="A37">
        <f t="shared" si="1"/>
        <v>36</v>
      </c>
      <c r="B37">
        <f t="shared" si="2"/>
        <v>70</v>
      </c>
      <c r="C37" s="3">
        <f>IF(B37&lt;Planner!$B$1,C36*(1+Planner!$B$12),0)</f>
        <v>0</v>
      </c>
      <c r="D37" s="9">
        <f>C37*Planner!$B$13</f>
        <v>0</v>
      </c>
      <c r="E37" s="3">
        <f>E36*(1+Planner!$B$11)</f>
        <v>140693.12271857631</v>
      </c>
      <c r="F37" s="3">
        <f t="shared" si="3"/>
        <v>-140693.12271857631</v>
      </c>
      <c r="G37" s="3">
        <f t="shared" si="4"/>
        <v>1092736.0407348708</v>
      </c>
      <c r="H37" s="3">
        <f>G37*IF(B37&lt;Planner!$B$1,Support!$B$5,Support!$B$6)</f>
        <v>43709.441629394831</v>
      </c>
      <c r="I37" s="3">
        <f t="shared" si="0"/>
        <v>140693.12271857631</v>
      </c>
      <c r="J37" s="3">
        <f t="shared" si="5"/>
        <v>995752.35964568937</v>
      </c>
      <c r="K37" s="3">
        <f t="shared" si="6"/>
        <v>-96983.681089181453</v>
      </c>
    </row>
    <row r="38" spans="1:11" x14ac:dyDescent="0.35">
      <c r="A38">
        <f t="shared" si="1"/>
        <v>37</v>
      </c>
      <c r="B38">
        <f t="shared" si="2"/>
        <v>71</v>
      </c>
      <c r="C38" s="3">
        <f>IF(B38&lt;Planner!$B$1,C37*(1+Planner!$B$12),0)</f>
        <v>0</v>
      </c>
      <c r="D38" s="9">
        <f>C38*Planner!$B$13</f>
        <v>0</v>
      </c>
      <c r="E38" s="3">
        <f>E37*(1+Planner!$B$11)</f>
        <v>144913.9164001336</v>
      </c>
      <c r="F38" s="3">
        <f t="shared" si="3"/>
        <v>-144913.9164001336</v>
      </c>
      <c r="G38" s="3">
        <f t="shared" si="4"/>
        <v>995752.35964568937</v>
      </c>
      <c r="H38" s="3">
        <f>G38*IF(B38&lt;Planner!$B$1,Support!$B$5,Support!$B$6)</f>
        <v>39830.094385827579</v>
      </c>
      <c r="I38" s="3">
        <f t="shared" si="0"/>
        <v>144913.9164001336</v>
      </c>
      <c r="J38" s="3">
        <f t="shared" si="5"/>
        <v>890668.53763138328</v>
      </c>
      <c r="K38" s="3">
        <f t="shared" si="6"/>
        <v>-105083.82201430609</v>
      </c>
    </row>
    <row r="39" spans="1:11" x14ac:dyDescent="0.35">
      <c r="A39">
        <f t="shared" si="1"/>
        <v>38</v>
      </c>
      <c r="B39">
        <f t="shared" si="2"/>
        <v>72</v>
      </c>
      <c r="C39" s="3">
        <f>IF(B39&lt;Planner!$B$1,C38*(1+Planner!$B$12),0)</f>
        <v>0</v>
      </c>
      <c r="D39" s="9">
        <f>C39*Planner!$B$13</f>
        <v>0</v>
      </c>
      <c r="E39" s="3">
        <f>E38*(1+Planner!$B$11)</f>
        <v>149261.33389213763</v>
      </c>
      <c r="F39" s="3">
        <f t="shared" si="3"/>
        <v>-149261.33389213763</v>
      </c>
      <c r="G39" s="3">
        <f t="shared" si="4"/>
        <v>890668.53763138328</v>
      </c>
      <c r="H39" s="3">
        <f>G39*IF(B39&lt;Planner!$B$1,Support!$B$5,Support!$B$6)</f>
        <v>35626.741505255333</v>
      </c>
      <c r="I39" s="3">
        <f t="shared" si="0"/>
        <v>149261.33389213763</v>
      </c>
      <c r="J39" s="3">
        <f t="shared" si="5"/>
        <v>777033.945244501</v>
      </c>
      <c r="K39" s="3">
        <f t="shared" si="6"/>
        <v>-113634.59238688229</v>
      </c>
    </row>
    <row r="40" spans="1:11" x14ac:dyDescent="0.35">
      <c r="A40">
        <f t="shared" si="1"/>
        <v>39</v>
      </c>
      <c r="B40">
        <f t="shared" si="2"/>
        <v>73</v>
      </c>
      <c r="C40" s="3">
        <f>IF(B40&lt;Planner!$B$1,C39*(1+Planner!$B$12),0)</f>
        <v>0</v>
      </c>
      <c r="D40" s="9">
        <f>C40*Planner!$B$13</f>
        <v>0</v>
      </c>
      <c r="E40" s="3">
        <f>E39*(1+Planner!$B$11)</f>
        <v>153739.17390890175</v>
      </c>
      <c r="F40" s="3">
        <f t="shared" si="3"/>
        <v>-153739.17390890175</v>
      </c>
      <c r="G40" s="3">
        <f t="shared" si="4"/>
        <v>777033.945244501</v>
      </c>
      <c r="H40" s="3">
        <f>G40*IF(B40&lt;Planner!$B$1,Support!$B$5,Support!$B$6)</f>
        <v>31081.357809780042</v>
      </c>
      <c r="I40" s="3">
        <f t="shared" si="0"/>
        <v>153739.17390890175</v>
      </c>
      <c r="J40" s="3">
        <f t="shared" si="5"/>
        <v>654376.12914537929</v>
      </c>
      <c r="K40" s="3">
        <f t="shared" si="6"/>
        <v>-122657.8160991217</v>
      </c>
    </row>
    <row r="41" spans="1:11" x14ac:dyDescent="0.35">
      <c r="A41">
        <f t="shared" si="1"/>
        <v>40</v>
      </c>
      <c r="B41">
        <f t="shared" si="2"/>
        <v>74</v>
      </c>
      <c r="C41" s="3">
        <f>IF(B41&lt;Planner!$B$1,C40*(1+Planner!$B$12),0)</f>
        <v>0</v>
      </c>
      <c r="D41" s="9">
        <f>C41*Planner!$B$13</f>
        <v>0</v>
      </c>
      <c r="E41" s="3">
        <f>E40*(1+Planner!$B$11)</f>
        <v>158351.34912616882</v>
      </c>
      <c r="F41" s="3">
        <f t="shared" si="3"/>
        <v>-158351.34912616882</v>
      </c>
      <c r="G41" s="3">
        <f t="shared" si="4"/>
        <v>654376.12914537929</v>
      </c>
      <c r="H41" s="3">
        <f>G41*IF(B41&lt;Planner!$B$1,Support!$B$5,Support!$B$6)</f>
        <v>26175.045165815172</v>
      </c>
      <c r="I41" s="3">
        <f t="shared" si="0"/>
        <v>158351.34912616882</v>
      </c>
      <c r="J41" s="3">
        <f t="shared" si="5"/>
        <v>522199.82518502563</v>
      </c>
      <c r="K41" s="3">
        <f t="shared" si="6"/>
        <v>-132176.30396035366</v>
      </c>
    </row>
    <row r="42" spans="1:11" x14ac:dyDescent="0.35">
      <c r="A42">
        <f t="shared" si="1"/>
        <v>41</v>
      </c>
      <c r="B42">
        <f t="shared" si="2"/>
        <v>75</v>
      </c>
      <c r="C42" s="3">
        <f>IF(B42&lt;Planner!$B$1,C41*(1+Planner!$B$12),0)</f>
        <v>0</v>
      </c>
      <c r="D42" s="9">
        <f>C42*Planner!$B$13</f>
        <v>0</v>
      </c>
      <c r="E42" s="3">
        <f>E41*(1+Planner!$B$11)</f>
        <v>163101.88959995389</v>
      </c>
      <c r="F42" s="3">
        <f t="shared" si="3"/>
        <v>-163101.88959995389</v>
      </c>
      <c r="G42" s="3">
        <f t="shared" si="4"/>
        <v>522199.82518502563</v>
      </c>
      <c r="H42" s="3">
        <f>G42*IF(B42&lt;Planner!$B$1,Support!$B$5,Support!$B$6)</f>
        <v>20887.993007401026</v>
      </c>
      <c r="I42" s="3">
        <f t="shared" si="0"/>
        <v>163101.88959995389</v>
      </c>
      <c r="J42" s="3">
        <f t="shared" si="5"/>
        <v>379985.9285924728</v>
      </c>
      <c r="K42" s="3">
        <f t="shared" si="6"/>
        <v>-142213.89659255283</v>
      </c>
    </row>
    <row r="43" spans="1:11" x14ac:dyDescent="0.35">
      <c r="A43">
        <f t="shared" si="1"/>
        <v>42</v>
      </c>
      <c r="B43">
        <f t="shared" si="2"/>
        <v>76</v>
      </c>
      <c r="C43" s="3">
        <f>IF(B43&lt;Planner!$B$1,C42*(1+Planner!$B$12),0)</f>
        <v>0</v>
      </c>
      <c r="D43" s="9">
        <f>C43*Planner!$B$13</f>
        <v>0</v>
      </c>
      <c r="E43" s="3">
        <f>E42*(1+Planner!$B$11)</f>
        <v>167994.94628795251</v>
      </c>
      <c r="F43" s="3">
        <f t="shared" si="3"/>
        <v>-167994.94628795251</v>
      </c>
      <c r="G43" s="3">
        <f t="shared" si="4"/>
        <v>379985.9285924728</v>
      </c>
      <c r="H43" s="3">
        <f>G43*IF(B43&lt;Planner!$B$1,Support!$B$5,Support!$B$6)</f>
        <v>15199.437143698913</v>
      </c>
      <c r="I43" s="3">
        <f t="shared" si="0"/>
        <v>167994.94628795251</v>
      </c>
      <c r="J43" s="3">
        <f t="shared" si="5"/>
        <v>227190.41944821921</v>
      </c>
      <c r="K43" s="3">
        <f t="shared" si="6"/>
        <v>-152795.50914425359</v>
      </c>
    </row>
    <row r="44" spans="1:11" x14ac:dyDescent="0.35">
      <c r="A44">
        <f t="shared" si="1"/>
        <v>43</v>
      </c>
      <c r="B44">
        <f t="shared" si="2"/>
        <v>77</v>
      </c>
      <c r="C44" s="3">
        <f>IF(B44&lt;Planner!$B$1,C43*(1+Planner!$B$12),0)</f>
        <v>0</v>
      </c>
      <c r="D44" s="9">
        <f>C44*Planner!$B$13</f>
        <v>0</v>
      </c>
      <c r="E44" s="3">
        <f>E43*(1+Planner!$B$11)</f>
        <v>173034.79467659109</v>
      </c>
      <c r="F44" s="3">
        <f t="shared" si="3"/>
        <v>-173034.79467659109</v>
      </c>
      <c r="G44" s="3">
        <f t="shared" si="4"/>
        <v>227190.41944821921</v>
      </c>
      <c r="H44" s="3">
        <f>G44*IF(B44&lt;Planner!$B$1,Support!$B$5,Support!$B$6)</f>
        <v>9087.616777928768</v>
      </c>
      <c r="I44" s="3">
        <f t="shared" si="0"/>
        <v>173034.79467659109</v>
      </c>
      <c r="J44" s="3">
        <f t="shared" si="5"/>
        <v>63243.2415495569</v>
      </c>
      <c r="K44" s="3">
        <f t="shared" si="6"/>
        <v>-163947.17789866231</v>
      </c>
    </row>
    <row r="45" spans="1:11" x14ac:dyDescent="0.35">
      <c r="A45">
        <f t="shared" si="1"/>
        <v>44</v>
      </c>
      <c r="B45">
        <f t="shared" si="2"/>
        <v>78</v>
      </c>
      <c r="C45" s="3">
        <f>IF(B45&lt;Planner!$B$1,C44*(1+Planner!$B$12),0)</f>
        <v>0</v>
      </c>
      <c r="D45" s="9">
        <f>C45*Planner!$B$13</f>
        <v>0</v>
      </c>
      <c r="E45" s="3">
        <f>E44*(1+Planner!$B$11)</f>
        <v>178225.83851688882</v>
      </c>
      <c r="F45" s="3">
        <f t="shared" si="3"/>
        <v>-178225.83851688882</v>
      </c>
      <c r="G45" s="3">
        <f t="shared" si="4"/>
        <v>63243.2415495569</v>
      </c>
      <c r="H45" s="3">
        <f>G45*IF(B45&lt;Planner!$B$1,Support!$B$5,Support!$B$6)</f>
        <v>2529.729661982276</v>
      </c>
      <c r="I45" s="3">
        <f t="shared" si="0"/>
        <v>178225.83851688882</v>
      </c>
      <c r="J45" s="3">
        <f t="shared" si="5"/>
        <v>-112452.86730534965</v>
      </c>
      <c r="K45" s="3">
        <f t="shared" si="6"/>
        <v>-175696.10885490655</v>
      </c>
    </row>
    <row r="46" spans="1:11" x14ac:dyDescent="0.35">
      <c r="A46">
        <f t="shared" si="1"/>
        <v>45</v>
      </c>
      <c r="B46">
        <f t="shared" si="2"/>
        <v>79</v>
      </c>
      <c r="C46" s="3">
        <f>IF(B46&lt;Planner!$B$1,C45*(1+Planner!$B$12),0)</f>
        <v>0</v>
      </c>
      <c r="D46" s="9">
        <f>C46*Planner!$B$13</f>
        <v>0</v>
      </c>
      <c r="E46" s="3">
        <f>E45*(1+Planner!$B$11)</f>
        <v>183572.6136723955</v>
      </c>
      <c r="F46" s="3">
        <f t="shared" si="3"/>
        <v>-183572.6136723955</v>
      </c>
      <c r="G46" s="3">
        <f t="shared" si="4"/>
        <v>-112452.86730534965</v>
      </c>
      <c r="H46" s="3">
        <f>G46*IF(B46&lt;Planner!$B$1,Support!$B$5,Support!$B$6)</f>
        <v>-4498.114692213986</v>
      </c>
      <c r="I46" s="3">
        <f t="shared" si="0"/>
        <v>183572.6136723955</v>
      </c>
      <c r="J46" s="3">
        <f t="shared" si="5"/>
        <v>-300523.59566995915</v>
      </c>
      <c r="K46" s="3">
        <f t="shared" si="6"/>
        <v>-188070.7283646095</v>
      </c>
    </row>
    <row r="47" spans="1:11" x14ac:dyDescent="0.35">
      <c r="A47">
        <f t="shared" si="1"/>
        <v>46</v>
      </c>
      <c r="B47">
        <f t="shared" si="2"/>
        <v>80</v>
      </c>
      <c r="C47" s="3">
        <f>IF(B47&lt;Planner!$B$1,C46*(1+Planner!$B$12),0)</f>
        <v>0</v>
      </c>
      <c r="D47" s="9">
        <f>C47*Planner!$B$13</f>
        <v>0</v>
      </c>
      <c r="E47" s="3">
        <f>E46*(1+Planner!$B$11)</f>
        <v>189079.79208256738</v>
      </c>
      <c r="F47" s="3">
        <f t="shared" si="3"/>
        <v>-189079.79208256738</v>
      </c>
      <c r="G47" s="3">
        <f t="shared" si="4"/>
        <v>-300523.59566995915</v>
      </c>
      <c r="H47" s="3">
        <f>G47*IF(B47&lt;Planner!$B$1,Support!$B$5,Support!$B$6)</f>
        <v>-12020.943826798366</v>
      </c>
      <c r="I47" s="3">
        <f t="shared" si="0"/>
        <v>189079.79208256738</v>
      </c>
      <c r="J47" s="3">
        <f t="shared" si="5"/>
        <v>-501624.33157932491</v>
      </c>
      <c r="K47" s="3">
        <f t="shared" si="6"/>
        <v>-201100.73590936576</v>
      </c>
    </row>
    <row r="48" spans="1:11" x14ac:dyDescent="0.35">
      <c r="A48">
        <f t="shared" si="1"/>
        <v>47</v>
      </c>
      <c r="B48">
        <f t="shared" si="2"/>
        <v>81</v>
      </c>
      <c r="C48" s="3">
        <f>IF(B48&lt;Planner!$B$1,C47*(1+Planner!$B$12),0)</f>
        <v>0</v>
      </c>
      <c r="D48" s="9">
        <f>C48*Planner!$B$13</f>
        <v>0</v>
      </c>
      <c r="E48" s="3">
        <f>E47*(1+Planner!$B$11)</f>
        <v>194752.18584504441</v>
      </c>
      <c r="F48" s="3">
        <f t="shared" si="3"/>
        <v>-194752.18584504441</v>
      </c>
      <c r="G48" s="3">
        <f t="shared" si="4"/>
        <v>-501624.33157932491</v>
      </c>
      <c r="H48" s="3">
        <f>G48*IF(B48&lt;Planner!$B$1,Support!$B$5,Support!$B$6)</f>
        <v>-20064.973263172997</v>
      </c>
      <c r="I48" s="3">
        <f t="shared" si="0"/>
        <v>194752.18584504441</v>
      </c>
      <c r="J48" s="3">
        <f t="shared" si="5"/>
        <v>-716441.49068754236</v>
      </c>
      <c r="K48" s="3">
        <f t="shared" si="6"/>
        <v>-214817.15910821746</v>
      </c>
    </row>
    <row r="49" spans="1:11" x14ac:dyDescent="0.35">
      <c r="A49">
        <f t="shared" si="1"/>
        <v>48</v>
      </c>
      <c r="B49">
        <f t="shared" si="2"/>
        <v>82</v>
      </c>
      <c r="C49" s="3">
        <f>IF(B49&lt;Planner!$B$1,C48*(1+Planner!$B$12),0)</f>
        <v>0</v>
      </c>
      <c r="D49" s="9">
        <f>C49*Planner!$B$13</f>
        <v>0</v>
      </c>
      <c r="E49" s="3">
        <f>E48*(1+Planner!$B$11)</f>
        <v>200594.75142039574</v>
      </c>
      <c r="F49" s="3">
        <f t="shared" si="3"/>
        <v>-200594.75142039574</v>
      </c>
      <c r="G49" s="3">
        <f t="shared" si="4"/>
        <v>-716441.49068754236</v>
      </c>
      <c r="H49" s="3">
        <f>G49*IF(B49&lt;Planner!$B$1,Support!$B$5,Support!$B$6)</f>
        <v>-28657.659627501696</v>
      </c>
      <c r="I49" s="3">
        <f t="shared" si="0"/>
        <v>200594.75142039574</v>
      </c>
      <c r="J49" s="3">
        <f t="shared" si="5"/>
        <v>-945693.9017354399</v>
      </c>
      <c r="K49" s="3">
        <f t="shared" si="6"/>
        <v>-229252.41104789753</v>
      </c>
    </row>
    <row r="50" spans="1:11" x14ac:dyDescent="0.35">
      <c r="A50">
        <f t="shared" si="1"/>
        <v>49</v>
      </c>
      <c r="B50">
        <f t="shared" si="2"/>
        <v>83</v>
      </c>
      <c r="C50" s="3">
        <f>IF(B50&lt;Planner!$B$1,C49*(1+Planner!$B$12),0)</f>
        <v>0</v>
      </c>
      <c r="D50" s="9">
        <f>C50*Planner!$B$13</f>
        <v>0</v>
      </c>
      <c r="E50" s="3">
        <f>E49*(1+Planner!$B$11)</f>
        <v>206612.59396300762</v>
      </c>
      <c r="F50" s="3">
        <f t="shared" si="3"/>
        <v>-206612.59396300762</v>
      </c>
      <c r="G50" s="3">
        <f t="shared" si="4"/>
        <v>-945693.9017354399</v>
      </c>
      <c r="H50" s="3">
        <f>G50*IF(B50&lt;Planner!$B$1,Support!$B$5,Support!$B$6)</f>
        <v>-37827.756069417599</v>
      </c>
      <c r="I50" s="3">
        <f t="shared" si="0"/>
        <v>206612.59396300762</v>
      </c>
      <c r="J50" s="3">
        <f t="shared" si="5"/>
        <v>-1190134.2517678651</v>
      </c>
      <c r="K50" s="3">
        <f t="shared" si="6"/>
        <v>-244440.35003242525</v>
      </c>
    </row>
    <row r="51" spans="1:11" x14ac:dyDescent="0.35">
      <c r="A51">
        <f t="shared" si="1"/>
        <v>50</v>
      </c>
      <c r="B51">
        <f t="shared" si="2"/>
        <v>84</v>
      </c>
      <c r="C51" s="3">
        <f>IF(B51&lt;Planner!$B$1,C50*(1+Planner!$B$12),0)</f>
        <v>0</v>
      </c>
      <c r="D51" s="9">
        <f>C51*Planner!$B$13</f>
        <v>0</v>
      </c>
      <c r="E51" s="3">
        <f>E50*(1+Planner!$B$11)</f>
        <v>212810.97178189785</v>
      </c>
      <c r="F51" s="3">
        <f t="shared" si="3"/>
        <v>-212810.97178189785</v>
      </c>
      <c r="G51" s="3">
        <f t="shared" si="4"/>
        <v>-1190134.2517678651</v>
      </c>
      <c r="H51" s="3">
        <f>G51*IF(B51&lt;Planner!$B$1,Support!$B$5,Support!$B$6)</f>
        <v>-47605.370070714605</v>
      </c>
      <c r="I51" s="3">
        <f t="shared" si="0"/>
        <v>212810.97178189785</v>
      </c>
      <c r="J51" s="3">
        <f t="shared" si="5"/>
        <v>-1450550.5936204775</v>
      </c>
      <c r="K51" s="3">
        <f t="shared" si="6"/>
        <v>-260416.34185261233</v>
      </c>
    </row>
    <row r="52" spans="1:11" x14ac:dyDescent="0.35">
      <c r="A52">
        <f t="shared" si="1"/>
        <v>51</v>
      </c>
      <c r="B52">
        <f t="shared" si="2"/>
        <v>85</v>
      </c>
      <c r="C52" s="3">
        <f>IF(B52&lt;Planner!$B$1,C51*(1+Planner!$B$12),0)</f>
        <v>0</v>
      </c>
      <c r="D52" s="9">
        <f>C52*Planner!$B$13</f>
        <v>0</v>
      </c>
      <c r="E52" s="3">
        <f>E51*(1+Planner!$B$11)</f>
        <v>219195.30093535478</v>
      </c>
      <c r="F52" s="3">
        <f t="shared" si="3"/>
        <v>-219195.30093535478</v>
      </c>
      <c r="G52" s="3">
        <f t="shared" si="4"/>
        <v>-1450550.5936204775</v>
      </c>
      <c r="H52" s="3">
        <f>G52*IF(B52&lt;Planner!$B$1,Support!$B$5,Support!$B$6)</f>
        <v>-58022.023744819104</v>
      </c>
      <c r="I52" s="3">
        <f t="shared" si="0"/>
        <v>219195.30093535478</v>
      </c>
      <c r="J52" s="3">
        <f t="shared" si="5"/>
        <v>-1727767.9183006512</v>
      </c>
      <c r="K52" s="3">
        <f t="shared" si="6"/>
        <v>-277217.32468017377</v>
      </c>
    </row>
    <row r="53" spans="1:11" x14ac:dyDescent="0.35">
      <c r="A53">
        <f t="shared" si="1"/>
        <v>52</v>
      </c>
      <c r="B53">
        <f t="shared" si="2"/>
        <v>86</v>
      </c>
      <c r="C53" s="3">
        <f>IF(B53&lt;Planner!$B$1,C52*(1+Planner!$B$12),0)</f>
        <v>0</v>
      </c>
      <c r="D53" s="9">
        <f>C53*Planner!$B$13</f>
        <v>0</v>
      </c>
      <c r="E53" s="3">
        <f>E52*(1+Planner!$B$11)</f>
        <v>225771.15996341544</v>
      </c>
      <c r="F53" s="3">
        <f t="shared" si="3"/>
        <v>-225771.15996341544</v>
      </c>
      <c r="G53" s="3">
        <f t="shared" si="4"/>
        <v>-1727767.9183006512</v>
      </c>
      <c r="H53" s="3">
        <f>G53*IF(B53&lt;Planner!$B$1,Support!$B$5,Support!$B$6)</f>
        <v>-69110.716732026049</v>
      </c>
      <c r="I53" s="3">
        <f t="shared" si="0"/>
        <v>225771.15996341544</v>
      </c>
      <c r="J53" s="3">
        <f t="shared" si="5"/>
        <v>-2022649.7949960928</v>
      </c>
      <c r="K53" s="3">
        <f t="shared" si="6"/>
        <v>-294881.87669544155</v>
      </c>
    </row>
    <row r="54" spans="1:11" x14ac:dyDescent="0.35">
      <c r="A54">
        <f t="shared" si="1"/>
        <v>53</v>
      </c>
      <c r="B54">
        <f t="shared" si="2"/>
        <v>87</v>
      </c>
      <c r="C54" s="3">
        <f>IF(B54&lt;Planner!$B$1,C53*(1+Planner!$B$12),0)</f>
        <v>0</v>
      </c>
      <c r="D54" s="9">
        <f>C54*Planner!$B$13</f>
        <v>0</v>
      </c>
      <c r="E54" s="3">
        <f>E53*(1+Planner!$B$11)</f>
        <v>232544.29476231791</v>
      </c>
      <c r="F54" s="3">
        <f t="shared" si="3"/>
        <v>-232544.29476231791</v>
      </c>
      <c r="G54" s="3">
        <f t="shared" si="4"/>
        <v>-2022649.7949960928</v>
      </c>
      <c r="H54" s="3">
        <f>G54*IF(B54&lt;Planner!$B$1,Support!$B$5,Support!$B$6)</f>
        <v>-80905.991799843716</v>
      </c>
      <c r="I54" s="3">
        <f t="shared" si="0"/>
        <v>232544.29476231791</v>
      </c>
      <c r="J54" s="3">
        <f t="shared" si="5"/>
        <v>-2336100.0815582545</v>
      </c>
      <c r="K54" s="3">
        <f t="shared" si="6"/>
        <v>-313450.28656216175</v>
      </c>
    </row>
    <row r="55" spans="1:11" x14ac:dyDescent="0.35">
      <c r="A55">
        <f t="shared" si="1"/>
        <v>54</v>
      </c>
      <c r="B55">
        <f t="shared" si="2"/>
        <v>88</v>
      </c>
      <c r="C55" s="3">
        <f>IF(B55&lt;Planner!$B$1,C54*(1+Planner!$B$12),0)</f>
        <v>0</v>
      </c>
      <c r="D55" s="9">
        <f>C55*Planner!$B$13</f>
        <v>0</v>
      </c>
      <c r="E55" s="3">
        <f>E54*(1+Planner!$B$11)</f>
        <v>239520.62360518746</v>
      </c>
      <c r="F55" s="3">
        <f t="shared" si="3"/>
        <v>-239520.62360518746</v>
      </c>
      <c r="G55" s="3">
        <f t="shared" si="4"/>
        <v>-2336100.0815582545</v>
      </c>
      <c r="H55" s="3">
        <f>G55*IF(B55&lt;Planner!$B$1,Support!$B$5,Support!$B$6)</f>
        <v>-93444.003262330181</v>
      </c>
      <c r="I55" s="3">
        <f t="shared" si="0"/>
        <v>239520.62360518746</v>
      </c>
      <c r="J55" s="3">
        <f t="shared" si="5"/>
        <v>-2669064.7084257724</v>
      </c>
      <c r="K55" s="3">
        <f t="shared" si="6"/>
        <v>-332964.62686751783</v>
      </c>
    </row>
    <row r="56" spans="1:11" x14ac:dyDescent="0.35">
      <c r="A56">
        <f t="shared" si="1"/>
        <v>55</v>
      </c>
      <c r="B56">
        <f t="shared" si="2"/>
        <v>89</v>
      </c>
      <c r="C56" s="3">
        <f>IF(B56&lt;Planner!$B$1,C55*(1+Planner!$B$12),0)</f>
        <v>0</v>
      </c>
      <c r="D56" s="9">
        <f>C56*Planner!$B$13</f>
        <v>0</v>
      </c>
      <c r="E56" s="3">
        <f>E55*(1+Planner!$B$11)</f>
        <v>246706.2423133431</v>
      </c>
      <c r="F56" s="3">
        <f t="shared" si="3"/>
        <v>-246706.2423133431</v>
      </c>
      <c r="G56" s="3">
        <f t="shared" si="4"/>
        <v>-2669064.7084257724</v>
      </c>
      <c r="H56" s="3">
        <f>G56*IF(B56&lt;Planner!$B$1,Support!$B$5,Support!$B$6)</f>
        <v>-106762.5883370309</v>
      </c>
      <c r="I56" s="3">
        <f t="shared" si="0"/>
        <v>246706.2423133431</v>
      </c>
      <c r="J56" s="3">
        <f t="shared" si="5"/>
        <v>-3022533.5390761462</v>
      </c>
      <c r="K56" s="3">
        <f t="shared" si="6"/>
        <v>-353468.83065037383</v>
      </c>
    </row>
    <row r="57" spans="1:11" x14ac:dyDescent="0.35">
      <c r="A57">
        <f t="shared" si="1"/>
        <v>56</v>
      </c>
      <c r="B57">
        <f t="shared" si="2"/>
        <v>90</v>
      </c>
      <c r="C57" s="3">
        <f>IF(B57&lt;Planner!$B$1,C56*(1+Planner!$B$12),0)</f>
        <v>0</v>
      </c>
      <c r="D57" s="9">
        <f>C57*Planner!$B$13</f>
        <v>0</v>
      </c>
      <c r="E57" s="3">
        <f>E56*(1+Planner!$B$11)</f>
        <v>254107.42958274341</v>
      </c>
      <c r="F57" s="3">
        <f t="shared" si="3"/>
        <v>-254107.42958274341</v>
      </c>
      <c r="G57" s="3">
        <f t="shared" si="4"/>
        <v>-3022533.5390761462</v>
      </c>
      <c r="H57" s="3">
        <f>G57*IF(B57&lt;Planner!$B$1,Support!$B$5,Support!$B$6)</f>
        <v>-120901.34156304585</v>
      </c>
      <c r="I57" s="3">
        <f t="shared" si="0"/>
        <v>254107.42958274341</v>
      </c>
      <c r="J57" s="3">
        <f t="shared" si="5"/>
        <v>-3397542.3102219356</v>
      </c>
      <c r="K57" s="3">
        <f t="shared" si="6"/>
        <v>-375008.77114578942</v>
      </c>
    </row>
    <row r="58" spans="1:11" x14ac:dyDescent="0.35">
      <c r="A58">
        <f t="shared" si="1"/>
        <v>57</v>
      </c>
      <c r="B58">
        <f t="shared" si="2"/>
        <v>91</v>
      </c>
      <c r="C58" s="3">
        <f>IF(B58&lt;Planner!$B$1,C57*(1+Planner!$B$12),0)</f>
        <v>0</v>
      </c>
      <c r="D58" s="9">
        <f>C58*Planner!$B$13</f>
        <v>0</v>
      </c>
      <c r="E58" s="3">
        <f>E57*(1+Planner!$B$11)</f>
        <v>261730.65247022573</v>
      </c>
      <c r="F58" s="3">
        <f t="shared" si="3"/>
        <v>-261730.65247022573</v>
      </c>
      <c r="G58" s="3">
        <f t="shared" si="4"/>
        <v>-3397542.3102219356</v>
      </c>
      <c r="H58" s="3">
        <f>G58*IF(B58&lt;Planner!$B$1,Support!$B$5,Support!$B$6)</f>
        <v>-135901.69240887742</v>
      </c>
      <c r="I58" s="3">
        <f t="shared" si="0"/>
        <v>261730.65247022573</v>
      </c>
      <c r="J58" s="3">
        <f t="shared" si="5"/>
        <v>-3795174.655101039</v>
      </c>
      <c r="K58" s="3">
        <f t="shared" si="6"/>
        <v>-397632.34487910336</v>
      </c>
    </row>
    <row r="59" spans="1:11" x14ac:dyDescent="0.35">
      <c r="A59">
        <f t="shared" si="1"/>
        <v>58</v>
      </c>
      <c r="B59">
        <f t="shared" si="2"/>
        <v>92</v>
      </c>
      <c r="C59" s="3">
        <f>IF(B59&lt;Planner!$B$1,C58*(1+Planner!$B$12),0)</f>
        <v>0</v>
      </c>
      <c r="D59" s="9">
        <f>C59*Planner!$B$13</f>
        <v>0</v>
      </c>
      <c r="E59" s="3">
        <f>E58*(1+Planner!$B$11)</f>
        <v>269582.57204433251</v>
      </c>
      <c r="F59" s="3">
        <f t="shared" si="3"/>
        <v>-269582.57204433251</v>
      </c>
      <c r="G59" s="3">
        <f t="shared" si="4"/>
        <v>-3795174.655101039</v>
      </c>
      <c r="H59" s="3">
        <f>G59*IF(B59&lt;Planner!$B$1,Support!$B$5,Support!$B$6)</f>
        <v>-151806.98620404158</v>
      </c>
      <c r="I59" s="3">
        <f t="shared" si="0"/>
        <v>269582.57204433251</v>
      </c>
      <c r="J59" s="3">
        <f t="shared" si="5"/>
        <v>-4216564.2133494131</v>
      </c>
      <c r="K59" s="3">
        <f t="shared" si="6"/>
        <v>-421389.55824837415</v>
      </c>
    </row>
    <row r="60" spans="1:11" x14ac:dyDescent="0.35">
      <c r="A60">
        <f t="shared" si="1"/>
        <v>59</v>
      </c>
      <c r="B60">
        <f t="shared" si="2"/>
        <v>93</v>
      </c>
      <c r="C60" s="3">
        <f>IF(B60&lt;Planner!$B$1,C59*(1+Planner!$B$12),0)</f>
        <v>0</v>
      </c>
      <c r="D60" s="9">
        <f>C60*Planner!$B$13</f>
        <v>0</v>
      </c>
      <c r="E60" s="3">
        <f>E59*(1+Planner!$B$11)</f>
        <v>277670.04920566251</v>
      </c>
      <c r="F60" s="3">
        <f t="shared" si="3"/>
        <v>-277670.04920566251</v>
      </c>
      <c r="G60" s="3">
        <f t="shared" si="4"/>
        <v>-4216564.2133494131</v>
      </c>
      <c r="H60" s="3">
        <f>G60*IF(B60&lt;Planner!$B$1,Support!$B$5,Support!$B$6)</f>
        <v>-168662.56853397653</v>
      </c>
      <c r="I60" s="3">
        <f t="shared" si="0"/>
        <v>277670.04920566251</v>
      </c>
      <c r="J60" s="3">
        <f t="shared" si="5"/>
        <v>-4662896.8310890524</v>
      </c>
      <c r="K60" s="3">
        <f t="shared" si="6"/>
        <v>-446332.61773963924</v>
      </c>
    </row>
    <row r="61" spans="1:11" x14ac:dyDescent="0.35">
      <c r="A61">
        <f t="shared" si="1"/>
        <v>60</v>
      </c>
      <c r="B61">
        <f t="shared" si="2"/>
        <v>94</v>
      </c>
      <c r="C61" s="3">
        <f>IF(B61&lt;Planner!$B$1,C60*(1+Planner!$B$12),0)</f>
        <v>0</v>
      </c>
      <c r="D61" s="9">
        <f>C61*Planner!$B$13</f>
        <v>0</v>
      </c>
      <c r="E61" s="3">
        <f>E60*(1+Planner!$B$11)</f>
        <v>286000.1506818324</v>
      </c>
      <c r="F61" s="3">
        <f t="shared" si="3"/>
        <v>-286000.1506818324</v>
      </c>
      <c r="G61" s="3">
        <f t="shared" si="4"/>
        <v>-4662896.8310890524</v>
      </c>
      <c r="H61" s="3">
        <f>G61*IF(B61&lt;Planner!$B$1,Support!$B$5,Support!$B$6)</f>
        <v>-186515.87324356209</v>
      </c>
      <c r="I61" s="3">
        <f t="shared" si="0"/>
        <v>286000.1506818324</v>
      </c>
      <c r="J61" s="3">
        <f t="shared" si="5"/>
        <v>-5135412.8550144471</v>
      </c>
      <c r="K61" s="3">
        <f t="shared" si="6"/>
        <v>-472516.02392539475</v>
      </c>
    </row>
    <row r="62" spans="1:11" x14ac:dyDescent="0.35">
      <c r="A62">
        <f t="shared" si="1"/>
        <v>61</v>
      </c>
      <c r="B62">
        <f t="shared" si="2"/>
        <v>95</v>
      </c>
      <c r="C62" s="3">
        <f>IF(B62&lt;Planner!$B$1,C61*(1+Planner!$B$12),0)</f>
        <v>0</v>
      </c>
      <c r="D62" s="9">
        <f>C62*Planner!$B$13</f>
        <v>0</v>
      </c>
      <c r="E62" s="3">
        <f>E61*(1+Planner!$B$11)</f>
        <v>294580.15520228737</v>
      </c>
      <c r="F62" s="3">
        <f t="shared" si="3"/>
        <v>-294580.15520228737</v>
      </c>
      <c r="G62" s="3">
        <f t="shared" si="4"/>
        <v>-5135412.8550144471</v>
      </c>
      <c r="H62" s="3">
        <f>G62*IF(B62&lt;Planner!$B$1,Support!$B$5,Support!$B$6)</f>
        <v>-205416.51420057789</v>
      </c>
      <c r="I62" s="3">
        <f t="shared" si="0"/>
        <v>294580.15520228737</v>
      </c>
      <c r="J62" s="3">
        <f t="shared" si="5"/>
        <v>-5635409.5244173119</v>
      </c>
      <c r="K62" s="3">
        <f t="shared" si="6"/>
        <v>-499996.66940286476</v>
      </c>
    </row>
    <row r="63" spans="1:11" x14ac:dyDescent="0.35">
      <c r="A63">
        <f t="shared" si="1"/>
        <v>62</v>
      </c>
      <c r="B63">
        <f t="shared" si="2"/>
        <v>96</v>
      </c>
      <c r="C63" s="3">
        <f>IF(B63&lt;Planner!$B$1,C62*(1+Planner!$B$12),0)</f>
        <v>0</v>
      </c>
      <c r="D63" s="9">
        <f>C63*Planner!$B$13</f>
        <v>0</v>
      </c>
      <c r="E63" s="3">
        <f>E62*(1+Planner!$B$11)</f>
        <v>303417.55985835602</v>
      </c>
      <c r="F63" s="3">
        <f t="shared" si="3"/>
        <v>-303417.55985835602</v>
      </c>
      <c r="G63" s="3">
        <f t="shared" si="4"/>
        <v>-5635409.5244173119</v>
      </c>
      <c r="H63" s="3">
        <f>G63*IF(B63&lt;Planner!$B$1,Support!$B$5,Support!$B$6)</f>
        <v>-225416.38097669248</v>
      </c>
      <c r="I63" s="3">
        <f t="shared" si="0"/>
        <v>303417.55985835602</v>
      </c>
      <c r="J63" s="3">
        <f t="shared" si="5"/>
        <v>-6164243.4652523603</v>
      </c>
      <c r="K63" s="3">
        <f t="shared" si="6"/>
        <v>-528833.94083504844</v>
      </c>
    </row>
    <row r="64" spans="1:11" x14ac:dyDescent="0.35">
      <c r="A64">
        <f t="shared" si="1"/>
        <v>63</v>
      </c>
      <c r="B64">
        <f t="shared" si="2"/>
        <v>97</v>
      </c>
      <c r="C64" s="3">
        <f>IF(B64&lt;Planner!$B$1,C63*(1+Planner!$B$12),0)</f>
        <v>0</v>
      </c>
      <c r="D64" s="9">
        <f>C64*Planner!$B$13</f>
        <v>0</v>
      </c>
      <c r="E64" s="3">
        <f>E63*(1+Planner!$B$11)</f>
        <v>312520.08665410674</v>
      </c>
      <c r="F64" s="3">
        <f t="shared" si="3"/>
        <v>-312520.08665410674</v>
      </c>
      <c r="G64" s="3">
        <f t="shared" si="4"/>
        <v>-6164243.4652523603</v>
      </c>
      <c r="H64" s="3">
        <f>G64*IF(B64&lt;Planner!$B$1,Support!$B$5,Support!$B$6)</f>
        <v>-246569.73861009441</v>
      </c>
      <c r="I64" s="3">
        <f t="shared" si="0"/>
        <v>312520.08665410674</v>
      </c>
      <c r="J64" s="3">
        <f t="shared" si="5"/>
        <v>-6723333.2905165618</v>
      </c>
      <c r="K64" s="3">
        <f t="shared" si="6"/>
        <v>-559089.8252642015</v>
      </c>
    </row>
    <row r="65" spans="1:11" x14ac:dyDescent="0.35">
      <c r="A65">
        <f t="shared" si="1"/>
        <v>64</v>
      </c>
      <c r="B65">
        <f t="shared" si="2"/>
        <v>98</v>
      </c>
      <c r="C65" s="3">
        <f>IF(B65&lt;Planner!$B$1,C64*(1+Planner!$B$12),0)</f>
        <v>0</v>
      </c>
      <c r="D65" s="9">
        <f>C65*Planner!$B$13</f>
        <v>0</v>
      </c>
      <c r="E65" s="3">
        <f>E64*(1+Planner!$B$11)</f>
        <v>321895.68925372994</v>
      </c>
      <c r="F65" s="3">
        <f t="shared" si="3"/>
        <v>-321895.68925372994</v>
      </c>
      <c r="G65" s="3">
        <f t="shared" si="4"/>
        <v>-6723333.2905165618</v>
      </c>
      <c r="H65" s="3">
        <f>G65*IF(B65&lt;Planner!$B$1,Support!$B$5,Support!$B$6)</f>
        <v>-268933.33162066247</v>
      </c>
      <c r="I65" s="3">
        <f t="shared" si="0"/>
        <v>321895.68925372994</v>
      </c>
      <c r="J65" s="3">
        <f t="shared" si="5"/>
        <v>-7314162.3113909541</v>
      </c>
      <c r="K65" s="3">
        <f t="shared" si="6"/>
        <v>-590829.02087439224</v>
      </c>
    </row>
    <row r="66" spans="1:11" x14ac:dyDescent="0.35">
      <c r="A66">
        <f t="shared" si="1"/>
        <v>65</v>
      </c>
      <c r="B66">
        <f t="shared" si="2"/>
        <v>99</v>
      </c>
      <c r="C66" s="3">
        <f>IF(B66&lt;Planner!$B$1,C65*(1+Planner!$B$12),0)</f>
        <v>0</v>
      </c>
      <c r="D66" s="9">
        <f>C66*Planner!$B$13</f>
        <v>0</v>
      </c>
      <c r="E66" s="3">
        <f>E65*(1+Planner!$B$11)</f>
        <v>331552.55993134185</v>
      </c>
      <c r="F66" s="3">
        <f t="shared" si="3"/>
        <v>-331552.55993134185</v>
      </c>
      <c r="G66" s="3">
        <f t="shared" si="4"/>
        <v>-7314162.3113909541</v>
      </c>
      <c r="H66" s="3">
        <f>G66*IF(B66&lt;Planner!$B$1,Support!$B$5,Support!$B$6)</f>
        <v>-292566.49245563819</v>
      </c>
      <c r="I66" s="3">
        <f t="shared" si="0"/>
        <v>331552.55993134185</v>
      </c>
      <c r="J66" s="3">
        <f t="shared" si="5"/>
        <v>-7938281.3637779336</v>
      </c>
      <c r="K66" s="3">
        <f t="shared" si="6"/>
        <v>-624119.05238697957</v>
      </c>
    </row>
    <row r="67" spans="1:11" x14ac:dyDescent="0.35">
      <c r="A67">
        <f t="shared" si="1"/>
        <v>66</v>
      </c>
      <c r="B67">
        <f t="shared" si="2"/>
        <v>100</v>
      </c>
      <c r="C67" s="3">
        <f>IF(B67&lt;Planner!$B$1,C66*(1+Planner!$B$12),0)</f>
        <v>0</v>
      </c>
      <c r="D67" s="9">
        <f>C67*Planner!$B$13</f>
        <v>0</v>
      </c>
      <c r="E67" s="3">
        <f>E66*(1+Planner!$B$11)</f>
        <v>341499.13672928209</v>
      </c>
      <c r="F67" s="3">
        <f t="shared" si="3"/>
        <v>-341499.13672928209</v>
      </c>
      <c r="G67" s="3">
        <f t="shared" si="4"/>
        <v>-7938281.3637779336</v>
      </c>
      <c r="H67" s="3">
        <f>G67*IF(B67&lt;Planner!$B$1,Support!$B$5,Support!$B$6)</f>
        <v>-317531.25455111737</v>
      </c>
      <c r="I67" s="3">
        <f t="shared" ref="I67" si="7">MAX(0,-F67)</f>
        <v>341499.13672928209</v>
      </c>
      <c r="J67" s="3">
        <f t="shared" si="5"/>
        <v>-8597311.7550583333</v>
      </c>
      <c r="K67" s="3">
        <f t="shared" si="6"/>
        <v>-659030.39128039964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DD8E-49D7-4AC2-AB5A-881ACDD9F364}">
  <dimension ref="A1:L20"/>
  <sheetViews>
    <sheetView workbookViewId="0">
      <selection activeCell="B9" sqref="B9"/>
    </sheetView>
  </sheetViews>
  <sheetFormatPr defaultRowHeight="14.5" x14ac:dyDescent="0.35"/>
  <cols>
    <col min="1" max="1" width="34.1796875" customWidth="1"/>
  </cols>
  <sheetData>
    <row r="1" spans="1:2" x14ac:dyDescent="0.35">
      <c r="A1" s="1" t="s">
        <v>21</v>
      </c>
      <c r="B1" s="4">
        <v>0.04</v>
      </c>
    </row>
    <row r="2" spans="1:2" x14ac:dyDescent="0.35">
      <c r="A2" s="1" t="s">
        <v>24</v>
      </c>
      <c r="B2" s="4">
        <v>0.06</v>
      </c>
    </row>
    <row r="3" spans="1:2" x14ac:dyDescent="0.35">
      <c r="A3" s="1" t="s">
        <v>25</v>
      </c>
      <c r="B3" s="4">
        <v>0.08</v>
      </c>
    </row>
    <row r="5" spans="1:2" x14ac:dyDescent="0.35">
      <c r="A5" s="1" t="s">
        <v>26</v>
      </c>
      <c r="B5" s="4">
        <f>_xlfn.XLOOKUP(Planner!B15,$A$1:$A$3,$B$1:$B$3)</f>
        <v>0.06</v>
      </c>
    </row>
    <row r="6" spans="1:2" x14ac:dyDescent="0.35">
      <c r="A6" s="1" t="s">
        <v>27</v>
      </c>
      <c r="B6" s="4">
        <f>_xlfn.XLOOKUP(Planner!B18,$A$1:$A$3,$B$1:$B$3)</f>
        <v>0.04</v>
      </c>
    </row>
    <row r="8" spans="1:2" x14ac:dyDescent="0.35">
      <c r="A8" s="1" t="s">
        <v>28</v>
      </c>
      <c r="B8" cm="1">
        <f t="array" ref="B8">IFERROR(MATCH(TRUE,INDEX(Calculations!$J$2:$J$67&lt;0,0),0)-1,"Not depleted")</f>
        <v>43</v>
      </c>
    </row>
    <row r="9" spans="1:2" x14ac:dyDescent="0.35">
      <c r="A9" s="1" t="s">
        <v>29</v>
      </c>
      <c r="B9">
        <f>IF(ISNUMBER(B8),Planner!B5+B8,"Not depleted")</f>
        <v>78</v>
      </c>
    </row>
    <row r="20" spans="12:12" x14ac:dyDescent="0.35">
      <c r="L20" s="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95AE-9B83-4A2B-896D-FFE9AB87A41A}">
  <dimension ref="A1:K67"/>
  <sheetViews>
    <sheetView workbookViewId="0">
      <selection activeCell="K1" activeCellId="10" sqref="A1:A1048576 B1:B1048576 C1:C1048576 D1:D1048576 E1:E1048576 F1:F1048576 G1:G1048576 H1:H1048576 I1:I1048576 J1:J1048576 K1:K1048576"/>
    </sheetView>
  </sheetViews>
  <sheetFormatPr defaultRowHeight="14.5" x14ac:dyDescent="0.35"/>
  <cols>
    <col min="1" max="1" width="8.6328125" bestFit="1" customWidth="1"/>
    <col min="2" max="2" width="3.90625" bestFit="1" customWidth="1"/>
    <col min="3" max="3" width="14.6328125" bestFit="1" customWidth="1"/>
    <col min="4" max="4" width="10.36328125" bestFit="1" customWidth="1"/>
    <col min="5" max="5" width="17.54296875" bestFit="1" customWidth="1"/>
    <col min="6" max="6" width="12.453125" bestFit="1" customWidth="1"/>
    <col min="7" max="7" width="22.6328125" bestFit="1" customWidth="1"/>
    <col min="8" max="8" width="13.90625" bestFit="1" customWidth="1"/>
    <col min="9" max="9" width="26.453125" bestFit="1" customWidth="1"/>
    <col min="10" max="10" width="17.6328125" bestFit="1" customWidth="1"/>
    <col min="11" max="11" width="19" bestFit="1" customWidth="1"/>
  </cols>
  <sheetData>
    <row r="1" spans="1:11" x14ac:dyDescent="0.35">
      <c r="A1" s="1" t="s">
        <v>2</v>
      </c>
      <c r="B1" s="1" t="s">
        <v>0</v>
      </c>
      <c r="C1" s="1" t="s">
        <v>3</v>
      </c>
      <c r="D1" s="10" t="s">
        <v>9</v>
      </c>
      <c r="E1" s="10" t="s">
        <v>7</v>
      </c>
      <c r="F1" s="10" t="s">
        <v>6</v>
      </c>
      <c r="G1" s="10" t="s">
        <v>23</v>
      </c>
      <c r="H1" s="1" t="s">
        <v>4</v>
      </c>
      <c r="I1" s="1" t="s">
        <v>10</v>
      </c>
      <c r="J1" s="1" t="s">
        <v>5</v>
      </c>
      <c r="K1" s="1" t="s">
        <v>8</v>
      </c>
    </row>
    <row r="2" spans="1:11" x14ac:dyDescent="0.35">
      <c r="A2">
        <v>1</v>
      </c>
      <c r="B2">
        <f>CurrentAge</f>
        <v>35</v>
      </c>
      <c r="C2">
        <f>IF(B2&lt;Planner!$B$1,Planner!$B$6,0)</f>
        <v>70000</v>
      </c>
      <c r="D2" s="9">
        <f>C2*Planner!$B$13</f>
        <v>15400</v>
      </c>
      <c r="E2" s="9">
        <f>Planner!$B$7</f>
        <v>50000</v>
      </c>
      <c r="F2" s="3">
        <f>C2-D2-E2</f>
        <v>4600</v>
      </c>
      <c r="G2" s="3">
        <f>Planner!$B$8</f>
        <v>30000</v>
      </c>
      <c r="H2" s="3">
        <f>G2*IF(B2&lt;Planner!$B$1,Support!$B$5,Support!$B$6)</f>
        <v>1800</v>
      </c>
      <c r="I2" s="3">
        <f>MAX(0,-F2)</f>
        <v>0</v>
      </c>
      <c r="J2" s="3">
        <f>G2+H2+F2</f>
        <v>36400</v>
      </c>
      <c r="K2" s="3">
        <f>J2-G2</f>
        <v>6400</v>
      </c>
    </row>
    <row r="3" spans="1:11" x14ac:dyDescent="0.35">
      <c r="A3">
        <f>A2+1</f>
        <v>2</v>
      </c>
      <c r="B3">
        <f>B2+1</f>
        <v>36</v>
      </c>
      <c r="C3" s="3">
        <f>IF(B3&lt;Planner!$B$1,C2*(1+Planner!$B$12),0)</f>
        <v>72800</v>
      </c>
      <c r="D3" s="9">
        <f>C3*Planner!$B$13</f>
        <v>16016</v>
      </c>
      <c r="E3" s="3">
        <f>E2*(1+Planner!$B$11)</f>
        <v>51500</v>
      </c>
      <c r="F3" s="3">
        <f>C3-D3-E3</f>
        <v>5284</v>
      </c>
      <c r="G3" s="3">
        <f>J2</f>
        <v>36400</v>
      </c>
      <c r="H3" s="3">
        <f>G3*IF(B3&lt;Planner!$B$1,Support!$B$5,Support!$B$6)</f>
        <v>2184</v>
      </c>
      <c r="I3" s="3">
        <f t="shared" ref="I3:I66" si="0">MAX(0,-F3)</f>
        <v>0</v>
      </c>
      <c r="J3" s="3">
        <f>G3+H3+F3</f>
        <v>43868</v>
      </c>
      <c r="K3" s="3">
        <f>J3-G3</f>
        <v>7468</v>
      </c>
    </row>
    <row r="4" spans="1:11" x14ac:dyDescent="0.35">
      <c r="A4">
        <f t="shared" ref="A4:B67" si="1">A3+1</f>
        <v>3</v>
      </c>
      <c r="B4">
        <f t="shared" si="1"/>
        <v>37</v>
      </c>
      <c r="C4" s="3">
        <f>IF(B4&lt;Planner!$B$1,C3*(1+Planner!$B$12),0)</f>
        <v>75712</v>
      </c>
      <c r="D4" s="9">
        <f>C4*Planner!$B$13</f>
        <v>16656.64</v>
      </c>
      <c r="E4" s="3">
        <f>E3*(1+Planner!$B$11)</f>
        <v>53045</v>
      </c>
      <c r="F4" s="3">
        <f t="shared" ref="F4:F67" si="2">C4-D4-E4</f>
        <v>6010.3600000000006</v>
      </c>
      <c r="G4" s="3">
        <f t="shared" ref="G4:G67" si="3">J3</f>
        <v>43868</v>
      </c>
      <c r="H4" s="3">
        <f>G4*IF(B4&lt;Planner!$B$1,Support!$B$5,Support!$B$6)</f>
        <v>2632.08</v>
      </c>
      <c r="I4" s="3">
        <f t="shared" si="0"/>
        <v>0</v>
      </c>
      <c r="J4" s="3">
        <f t="shared" ref="J4:J67" si="4">G4+H4+F4</f>
        <v>52510.44</v>
      </c>
      <c r="K4" s="3">
        <f t="shared" ref="K4:K67" si="5">J4-G4</f>
        <v>8642.4400000000023</v>
      </c>
    </row>
    <row r="5" spans="1:11" x14ac:dyDescent="0.35">
      <c r="A5">
        <f t="shared" si="1"/>
        <v>4</v>
      </c>
      <c r="B5">
        <f t="shared" si="1"/>
        <v>38</v>
      </c>
      <c r="C5" s="3">
        <f>IF(B5&lt;Planner!$B$1,C4*(1+Planner!$B$12),0)</f>
        <v>78740.479999999996</v>
      </c>
      <c r="D5" s="9">
        <f>C5*Planner!$B$13</f>
        <v>17322.905599999998</v>
      </c>
      <c r="E5" s="3">
        <f>E4*(1+Planner!$B$11)</f>
        <v>54636.35</v>
      </c>
      <c r="F5" s="3">
        <f t="shared" si="2"/>
        <v>6781.2243999999992</v>
      </c>
      <c r="G5" s="3">
        <f t="shared" si="3"/>
        <v>52510.44</v>
      </c>
      <c r="H5" s="3">
        <f>G5*IF(B5&lt;Planner!$B$1,Support!$B$5,Support!$B$6)</f>
        <v>3150.6264000000001</v>
      </c>
      <c r="I5" s="3">
        <f t="shared" si="0"/>
        <v>0</v>
      </c>
      <c r="J5" s="3">
        <f t="shared" si="4"/>
        <v>62442.290800000002</v>
      </c>
      <c r="K5" s="3">
        <f t="shared" si="5"/>
        <v>9931.8508000000002</v>
      </c>
    </row>
    <row r="6" spans="1:11" x14ac:dyDescent="0.35">
      <c r="A6">
        <f t="shared" si="1"/>
        <v>5</v>
      </c>
      <c r="B6">
        <f t="shared" si="1"/>
        <v>39</v>
      </c>
      <c r="C6" s="3">
        <f>IF(B6&lt;Planner!$B$1,C5*(1+Planner!$B$12),0)</f>
        <v>81890.099199999997</v>
      </c>
      <c r="D6" s="9">
        <f>C6*Planner!$B$13</f>
        <v>18015.821823999999</v>
      </c>
      <c r="E6" s="3">
        <f>E5*(1+Planner!$B$11)</f>
        <v>56275.440499999997</v>
      </c>
      <c r="F6" s="3">
        <f t="shared" si="2"/>
        <v>7598.8368760000012</v>
      </c>
      <c r="G6" s="3">
        <f t="shared" si="3"/>
        <v>62442.290800000002</v>
      </c>
      <c r="H6" s="3">
        <f>G6*IF(B6&lt;Planner!$B$1,Support!$B$5,Support!$B$6)</f>
        <v>3746.537448</v>
      </c>
      <c r="I6" s="3">
        <f t="shared" si="0"/>
        <v>0</v>
      </c>
      <c r="J6" s="3">
        <f t="shared" si="4"/>
        <v>73787.665124000006</v>
      </c>
      <c r="K6" s="3">
        <f t="shared" si="5"/>
        <v>11345.374324000004</v>
      </c>
    </row>
    <row r="7" spans="1:11" x14ac:dyDescent="0.35">
      <c r="A7">
        <f t="shared" si="1"/>
        <v>6</v>
      </c>
      <c r="B7">
        <f t="shared" si="1"/>
        <v>40</v>
      </c>
      <c r="C7" s="3">
        <f>IF(B7&lt;Planner!$B$1,C6*(1+Planner!$B$12),0)</f>
        <v>85165.703167999993</v>
      </c>
      <c r="D7" s="9">
        <f>C7*Planner!$B$13</f>
        <v>18736.454696959998</v>
      </c>
      <c r="E7" s="3">
        <f>E6*(1+Planner!$B$11)</f>
        <v>57963.703714999996</v>
      </c>
      <c r="F7" s="3">
        <f t="shared" si="2"/>
        <v>8465.5447560399916</v>
      </c>
      <c r="G7" s="3">
        <f t="shared" si="3"/>
        <v>73787.665124000006</v>
      </c>
      <c r="H7" s="3">
        <f>G7*IF(B7&lt;Planner!$B$1,Support!$B$5,Support!$B$6)</f>
        <v>4427.2599074400005</v>
      </c>
      <c r="I7" s="3">
        <f t="shared" si="0"/>
        <v>0</v>
      </c>
      <c r="J7" s="3">
        <f t="shared" si="4"/>
        <v>86680.469787480004</v>
      </c>
      <c r="K7" s="3">
        <f t="shared" si="5"/>
        <v>12892.804663479998</v>
      </c>
    </row>
    <row r="8" spans="1:11" x14ac:dyDescent="0.35">
      <c r="A8">
        <f t="shared" si="1"/>
        <v>7</v>
      </c>
      <c r="B8">
        <f t="shared" si="1"/>
        <v>41</v>
      </c>
      <c r="C8" s="3">
        <f>IF(B8&lt;Planner!$B$1,C7*(1+Planner!$B$12),0)</f>
        <v>88572.331294719988</v>
      </c>
      <c r="D8" s="9">
        <f>C8*Planner!$B$13</f>
        <v>19485.912884838399</v>
      </c>
      <c r="E8" s="3">
        <f>E7*(1+Planner!$B$11)</f>
        <v>59702.614826450001</v>
      </c>
      <c r="F8" s="3">
        <f t="shared" si="2"/>
        <v>9383.8035834315888</v>
      </c>
      <c r="G8" s="3">
        <f t="shared" si="3"/>
        <v>86680.469787480004</v>
      </c>
      <c r="H8" s="3">
        <f>G8*IF(B8&lt;Planner!$B$1,Support!$B$5,Support!$B$6)</f>
        <v>5200.8281872487996</v>
      </c>
      <c r="I8" s="3">
        <f t="shared" si="0"/>
        <v>0</v>
      </c>
      <c r="J8" s="3">
        <f t="shared" si="4"/>
        <v>101265.10155816039</v>
      </c>
      <c r="K8" s="3">
        <f t="shared" si="5"/>
        <v>14584.631770680382</v>
      </c>
    </row>
    <row r="9" spans="1:11" x14ac:dyDescent="0.35">
      <c r="A9">
        <f t="shared" si="1"/>
        <v>8</v>
      </c>
      <c r="B9">
        <f t="shared" si="1"/>
        <v>42</v>
      </c>
      <c r="C9" s="3">
        <f>IF(B9&lt;Planner!$B$1,C8*(1+Planner!$B$12),0)</f>
        <v>92115.224546508791</v>
      </c>
      <c r="D9" s="9">
        <f>C9*Planner!$B$13</f>
        <v>20265.349400231935</v>
      </c>
      <c r="E9" s="3">
        <f>E8*(1+Planner!$B$11)</f>
        <v>61493.693271243501</v>
      </c>
      <c r="F9" s="3">
        <f t="shared" si="2"/>
        <v>10356.181875033355</v>
      </c>
      <c r="G9" s="3">
        <f t="shared" si="3"/>
        <v>101265.10155816039</v>
      </c>
      <c r="H9" s="3">
        <f>G9*IF(B9&lt;Planner!$B$1,Support!$B$5,Support!$B$6)</f>
        <v>6075.9060934896233</v>
      </c>
      <c r="I9" s="3">
        <f t="shared" si="0"/>
        <v>0</v>
      </c>
      <c r="J9" s="3">
        <f t="shared" si="4"/>
        <v>117697.18952668336</v>
      </c>
      <c r="K9" s="3">
        <f t="shared" si="5"/>
        <v>16432.087968522974</v>
      </c>
    </row>
    <row r="10" spans="1:11" x14ac:dyDescent="0.35">
      <c r="A10">
        <f t="shared" si="1"/>
        <v>9</v>
      </c>
      <c r="B10">
        <f t="shared" si="1"/>
        <v>43</v>
      </c>
      <c r="C10" s="3">
        <f>IF(B10&lt;Planner!$B$1,C9*(1+Planner!$B$12),0)</f>
        <v>95799.833528369141</v>
      </c>
      <c r="D10" s="9">
        <f>C10*Planner!$B$13</f>
        <v>21075.963376241212</v>
      </c>
      <c r="E10" s="3">
        <f>E9*(1+Planner!$B$11)</f>
        <v>63338.504069380804</v>
      </c>
      <c r="F10" s="3">
        <f t="shared" si="2"/>
        <v>11385.366082747125</v>
      </c>
      <c r="G10" s="3">
        <f t="shared" si="3"/>
        <v>117697.18952668336</v>
      </c>
      <c r="H10" s="3">
        <f>G10*IF(B10&lt;Planner!$B$1,Support!$B$5,Support!$B$6)</f>
        <v>7061.8313716010016</v>
      </c>
      <c r="I10" s="3">
        <f t="shared" si="0"/>
        <v>0</v>
      </c>
      <c r="J10" s="3">
        <f t="shared" si="4"/>
        <v>136144.38698103148</v>
      </c>
      <c r="K10" s="3">
        <f t="shared" si="5"/>
        <v>18447.197454348119</v>
      </c>
    </row>
    <row r="11" spans="1:11" x14ac:dyDescent="0.35">
      <c r="A11">
        <f t="shared" si="1"/>
        <v>10</v>
      </c>
      <c r="B11">
        <f t="shared" si="1"/>
        <v>44</v>
      </c>
      <c r="C11" s="3">
        <f>IF(B11&lt;Planner!$B$1,C10*(1+Planner!$B$12),0)</f>
        <v>99631.826869503915</v>
      </c>
      <c r="D11" s="9">
        <f>C11*Planner!$B$13</f>
        <v>21919.001911290863</v>
      </c>
      <c r="E11" s="3">
        <f>E10*(1+Planner!$B$11)</f>
        <v>65238.659191462233</v>
      </c>
      <c r="F11" s="3">
        <f t="shared" si="2"/>
        <v>12474.165766750819</v>
      </c>
      <c r="G11" s="3">
        <f t="shared" si="3"/>
        <v>136144.38698103148</v>
      </c>
      <c r="H11" s="3">
        <f>G11*IF(B11&lt;Planner!$B$1,Support!$B$5,Support!$B$6)</f>
        <v>8168.6632188618887</v>
      </c>
      <c r="I11" s="3">
        <f t="shared" si="0"/>
        <v>0</v>
      </c>
      <c r="J11" s="3">
        <f t="shared" si="4"/>
        <v>156787.21596664417</v>
      </c>
      <c r="K11" s="3">
        <f t="shared" si="5"/>
        <v>20642.828985612694</v>
      </c>
    </row>
    <row r="12" spans="1:11" x14ac:dyDescent="0.35">
      <c r="A12">
        <f t="shared" si="1"/>
        <v>11</v>
      </c>
      <c r="B12">
        <f t="shared" si="1"/>
        <v>45</v>
      </c>
      <c r="C12" s="3">
        <f>IF(B12&lt;Planner!$B$1,C11*(1+Planner!$B$12),0)</f>
        <v>103617.09994428407</v>
      </c>
      <c r="D12" s="9">
        <f>C12*Planner!$B$13</f>
        <v>22795.761987742495</v>
      </c>
      <c r="E12" s="3">
        <f>E11*(1+Planner!$B$11)</f>
        <v>67195.818967206098</v>
      </c>
      <c r="F12" s="3">
        <f t="shared" si="2"/>
        <v>13625.518989335469</v>
      </c>
      <c r="G12" s="3">
        <f t="shared" si="3"/>
        <v>156787.21596664417</v>
      </c>
      <c r="H12" s="3">
        <f>G12*IF(B12&lt;Planner!$B$1,Support!$B$5,Support!$B$6)</f>
        <v>9407.2329579986508</v>
      </c>
      <c r="I12" s="3">
        <f t="shared" si="0"/>
        <v>0</v>
      </c>
      <c r="J12" s="3">
        <f t="shared" si="4"/>
        <v>179819.96791397827</v>
      </c>
      <c r="K12" s="3">
        <f t="shared" si="5"/>
        <v>23032.751947334094</v>
      </c>
    </row>
    <row r="13" spans="1:11" x14ac:dyDescent="0.35">
      <c r="A13">
        <f t="shared" si="1"/>
        <v>12</v>
      </c>
      <c r="B13">
        <f t="shared" si="1"/>
        <v>46</v>
      </c>
      <c r="C13" s="3">
        <f>IF(B13&lt;Planner!$B$1,C12*(1+Planner!$B$12),0)</f>
        <v>107761.78394205544</v>
      </c>
      <c r="D13" s="9">
        <f>C13*Planner!$B$13</f>
        <v>23707.592467252198</v>
      </c>
      <c r="E13" s="3">
        <f>E12*(1+Planner!$B$11)</f>
        <v>69211.693536222287</v>
      </c>
      <c r="F13" s="3">
        <f t="shared" si="2"/>
        <v>14842.497938580957</v>
      </c>
      <c r="G13" s="3">
        <f t="shared" si="3"/>
        <v>179819.96791397827</v>
      </c>
      <c r="H13" s="3">
        <f>G13*IF(B13&lt;Planner!$B$1,Support!$B$5,Support!$B$6)</f>
        <v>10789.198074838696</v>
      </c>
      <c r="I13" s="3">
        <f t="shared" si="0"/>
        <v>0</v>
      </c>
      <c r="J13" s="3">
        <f t="shared" si="4"/>
        <v>205451.66392739792</v>
      </c>
      <c r="K13" s="3">
        <f t="shared" si="5"/>
        <v>25631.696013419656</v>
      </c>
    </row>
    <row r="14" spans="1:11" x14ac:dyDescent="0.35">
      <c r="A14">
        <f t="shared" si="1"/>
        <v>13</v>
      </c>
      <c r="B14">
        <f t="shared" si="1"/>
        <v>47</v>
      </c>
      <c r="C14" s="3">
        <f>IF(B14&lt;Planner!$B$1,C13*(1+Planner!$B$12),0)</f>
        <v>112072.25529973766</v>
      </c>
      <c r="D14" s="9">
        <f>C14*Planner!$B$13</f>
        <v>24655.896165942286</v>
      </c>
      <c r="E14" s="3">
        <f>E13*(1+Planner!$B$11)</f>
        <v>71288.04434230896</v>
      </c>
      <c r="F14" s="3">
        <f t="shared" si="2"/>
        <v>16128.314791486409</v>
      </c>
      <c r="G14" s="3">
        <f t="shared" si="3"/>
        <v>205451.66392739792</v>
      </c>
      <c r="H14" s="3">
        <f>G14*IF(B14&lt;Planner!$B$1,Support!$B$5,Support!$B$6)</f>
        <v>12327.099835643876</v>
      </c>
      <c r="I14" s="3">
        <f t="shared" si="0"/>
        <v>0</v>
      </c>
      <c r="J14" s="3">
        <f t="shared" si="4"/>
        <v>233907.07855452818</v>
      </c>
      <c r="K14" s="3">
        <f t="shared" si="5"/>
        <v>28455.41462713026</v>
      </c>
    </row>
    <row r="15" spans="1:11" x14ac:dyDescent="0.35">
      <c r="A15">
        <f t="shared" si="1"/>
        <v>14</v>
      </c>
      <c r="B15">
        <f t="shared" si="1"/>
        <v>48</v>
      </c>
      <c r="C15" s="3">
        <f>IF(B15&lt;Planner!$B$1,C14*(1+Planner!$B$12),0)</f>
        <v>116555.14551172717</v>
      </c>
      <c r="D15" s="9">
        <f>C15*Planner!$B$13</f>
        <v>25642.132012579976</v>
      </c>
      <c r="E15" s="3">
        <f>E14*(1+Planner!$B$11)</f>
        <v>73426.685672578227</v>
      </c>
      <c r="F15" s="3">
        <f t="shared" si="2"/>
        <v>17486.327826568973</v>
      </c>
      <c r="G15" s="3">
        <f t="shared" si="3"/>
        <v>233907.07855452818</v>
      </c>
      <c r="H15" s="3">
        <f>G15*IF(B15&lt;Planner!$B$1,Support!$B$5,Support!$B$6)</f>
        <v>14034.42471327169</v>
      </c>
      <c r="I15" s="3">
        <f t="shared" si="0"/>
        <v>0</v>
      </c>
      <c r="J15" s="3">
        <f t="shared" si="4"/>
        <v>265427.83109436883</v>
      </c>
      <c r="K15" s="3">
        <f t="shared" si="5"/>
        <v>31520.752539840643</v>
      </c>
    </row>
    <row r="16" spans="1:11" x14ac:dyDescent="0.35">
      <c r="A16">
        <f t="shared" si="1"/>
        <v>15</v>
      </c>
      <c r="B16">
        <f t="shared" si="1"/>
        <v>49</v>
      </c>
      <c r="C16" s="3">
        <f>IF(B16&lt;Planner!$B$1,C15*(1+Planner!$B$12),0)</f>
        <v>121217.35133219625</v>
      </c>
      <c r="D16" s="9">
        <f>C16*Planner!$B$13</f>
        <v>26667.817293083175</v>
      </c>
      <c r="E16" s="3">
        <f>E15*(1+Planner!$B$11)</f>
        <v>75629.486242755578</v>
      </c>
      <c r="F16" s="3">
        <f t="shared" si="2"/>
        <v>18920.047796357496</v>
      </c>
      <c r="G16" s="3">
        <f t="shared" si="3"/>
        <v>265427.83109436883</v>
      </c>
      <c r="H16" s="3">
        <f>G16*IF(B16&lt;Planner!$B$1,Support!$B$5,Support!$B$6)</f>
        <v>15925.669865662128</v>
      </c>
      <c r="I16" s="3">
        <f t="shared" si="0"/>
        <v>0</v>
      </c>
      <c r="J16" s="3">
        <f t="shared" si="4"/>
        <v>300273.54875638842</v>
      </c>
      <c r="K16" s="3">
        <f t="shared" si="5"/>
        <v>34845.717662019597</v>
      </c>
    </row>
    <row r="17" spans="1:11" x14ac:dyDescent="0.35">
      <c r="A17">
        <f t="shared" si="1"/>
        <v>16</v>
      </c>
      <c r="B17">
        <f t="shared" si="1"/>
        <v>50</v>
      </c>
      <c r="C17" s="3">
        <f>IF(B17&lt;Planner!$B$1,C16*(1+Planner!$B$12),0)</f>
        <v>126066.0453854841</v>
      </c>
      <c r="D17" s="9">
        <f>C17*Planner!$B$13</f>
        <v>27734.529984806504</v>
      </c>
      <c r="E17" s="3">
        <f>E16*(1+Planner!$B$11)</f>
        <v>77898.370830038242</v>
      </c>
      <c r="F17" s="3">
        <f t="shared" si="2"/>
        <v>20433.144570639357</v>
      </c>
      <c r="G17" s="3">
        <f t="shared" si="3"/>
        <v>300273.54875638842</v>
      </c>
      <c r="H17" s="3">
        <f>G17*IF(B17&lt;Planner!$B$1,Support!$B$5,Support!$B$6)</f>
        <v>18016.412925383305</v>
      </c>
      <c r="I17" s="3">
        <f t="shared" si="0"/>
        <v>0</v>
      </c>
      <c r="J17" s="3">
        <f t="shared" si="4"/>
        <v>338723.10625241109</v>
      </c>
      <c r="K17" s="3">
        <f t="shared" si="5"/>
        <v>38449.557496022666</v>
      </c>
    </row>
    <row r="18" spans="1:11" x14ac:dyDescent="0.35">
      <c r="A18">
        <f t="shared" si="1"/>
        <v>17</v>
      </c>
      <c r="B18">
        <f t="shared" si="1"/>
        <v>51</v>
      </c>
      <c r="C18" s="3">
        <f>IF(B18&lt;Planner!$B$1,C17*(1+Planner!$B$12),0)</f>
        <v>131108.68720090349</v>
      </c>
      <c r="D18" s="9">
        <f>C18*Planner!$B$13</f>
        <v>28843.911184198765</v>
      </c>
      <c r="E18" s="3">
        <f>E17*(1+Planner!$B$11)</f>
        <v>80235.321954939398</v>
      </c>
      <c r="F18" s="3">
        <f t="shared" si="2"/>
        <v>22029.454061765326</v>
      </c>
      <c r="G18" s="3">
        <f t="shared" si="3"/>
        <v>338723.10625241109</v>
      </c>
      <c r="H18" s="3">
        <f>G18*IF(B18&lt;Planner!$B$1,Support!$B$5,Support!$B$6)</f>
        <v>20323.386375144666</v>
      </c>
      <c r="I18" s="3">
        <f t="shared" si="0"/>
        <v>0</v>
      </c>
      <c r="J18" s="3">
        <f t="shared" si="4"/>
        <v>381075.94668932108</v>
      </c>
      <c r="K18" s="3">
        <f t="shared" si="5"/>
        <v>42352.840436909988</v>
      </c>
    </row>
    <row r="19" spans="1:11" x14ac:dyDescent="0.35">
      <c r="A19">
        <f t="shared" si="1"/>
        <v>18</v>
      </c>
      <c r="B19">
        <f t="shared" si="1"/>
        <v>52</v>
      </c>
      <c r="C19" s="3">
        <f>IF(B19&lt;Planner!$B$1,C18*(1+Planner!$B$12),0)</f>
        <v>136353.03468893963</v>
      </c>
      <c r="D19" s="9">
        <f>C19*Planner!$B$13</f>
        <v>29997.667631566717</v>
      </c>
      <c r="E19" s="3">
        <f>E18*(1+Planner!$B$11)</f>
        <v>82642.381613587582</v>
      </c>
      <c r="F19" s="3">
        <f t="shared" si="2"/>
        <v>23712.985443785336</v>
      </c>
      <c r="G19" s="3">
        <f t="shared" si="3"/>
        <v>381075.94668932108</v>
      </c>
      <c r="H19" s="3">
        <f>G19*IF(B19&lt;Planner!$B$1,Support!$B$5,Support!$B$6)</f>
        <v>22864.556801359264</v>
      </c>
      <c r="I19" s="3">
        <f t="shared" si="0"/>
        <v>0</v>
      </c>
      <c r="J19" s="3">
        <f t="shared" si="4"/>
        <v>427653.48893446568</v>
      </c>
      <c r="K19" s="3">
        <f t="shared" si="5"/>
        <v>46577.542245144607</v>
      </c>
    </row>
    <row r="20" spans="1:11" x14ac:dyDescent="0.35">
      <c r="A20">
        <f t="shared" si="1"/>
        <v>19</v>
      </c>
      <c r="B20">
        <f t="shared" si="1"/>
        <v>53</v>
      </c>
      <c r="C20" s="3">
        <f>IF(B20&lt;Planner!$B$1,C19*(1+Planner!$B$12),0)</f>
        <v>141807.15607649722</v>
      </c>
      <c r="D20" s="9">
        <f>C20*Planner!$B$13</f>
        <v>31197.574336829388</v>
      </c>
      <c r="E20" s="3">
        <f>E19*(1+Planner!$B$11)</f>
        <v>85121.65306199521</v>
      </c>
      <c r="F20" s="3">
        <f t="shared" si="2"/>
        <v>25487.928677672622</v>
      </c>
      <c r="G20" s="3">
        <f t="shared" si="3"/>
        <v>427653.48893446568</v>
      </c>
      <c r="H20" s="3">
        <f>G20*IF(B20&lt;Planner!$B$1,Support!$B$5,Support!$B$6)</f>
        <v>25659.209336067939</v>
      </c>
      <c r="I20" s="3">
        <f t="shared" si="0"/>
        <v>0</v>
      </c>
      <c r="J20" s="3">
        <f t="shared" si="4"/>
        <v>478800.62694820628</v>
      </c>
      <c r="K20" s="3">
        <f t="shared" si="5"/>
        <v>51147.138013740594</v>
      </c>
    </row>
    <row r="21" spans="1:11" x14ac:dyDescent="0.35">
      <c r="A21">
        <f t="shared" si="1"/>
        <v>20</v>
      </c>
      <c r="B21">
        <f t="shared" si="1"/>
        <v>54</v>
      </c>
      <c r="C21" s="3">
        <f>IF(B21&lt;Planner!$B$1,C20*(1+Planner!$B$12),0)</f>
        <v>147479.44231955713</v>
      </c>
      <c r="D21" s="9">
        <f>C21*Planner!$B$13</f>
        <v>32445.477310302569</v>
      </c>
      <c r="E21" s="3">
        <f>E20*(1+Planner!$B$11)</f>
        <v>87675.302653855062</v>
      </c>
      <c r="F21" s="3">
        <f t="shared" si="2"/>
        <v>27358.662355399501</v>
      </c>
      <c r="G21" s="3">
        <f t="shared" si="3"/>
        <v>478800.62694820628</v>
      </c>
      <c r="H21" s="3">
        <f>G21*IF(B21&lt;Planner!$B$1,Support!$B$5,Support!$B$6)</f>
        <v>28728.037616892376</v>
      </c>
      <c r="I21" s="3">
        <f t="shared" si="0"/>
        <v>0</v>
      </c>
      <c r="J21" s="3">
        <f t="shared" si="4"/>
        <v>534887.32692049816</v>
      </c>
      <c r="K21" s="3">
        <f t="shared" si="5"/>
        <v>56086.699972291884</v>
      </c>
    </row>
    <row r="22" spans="1:11" x14ac:dyDescent="0.35">
      <c r="A22">
        <f t="shared" si="1"/>
        <v>21</v>
      </c>
      <c r="B22">
        <f t="shared" si="1"/>
        <v>55</v>
      </c>
      <c r="C22" s="3">
        <f>IF(B22&lt;Planner!$B$1,C21*(1+Planner!$B$12),0)</f>
        <v>153378.62001233941</v>
      </c>
      <c r="D22" s="9">
        <f>C22*Planner!$B$13</f>
        <v>33743.296402714674</v>
      </c>
      <c r="E22" s="3">
        <f>E21*(1+Planner!$B$11)</f>
        <v>90305.56173347072</v>
      </c>
      <c r="F22" s="3">
        <f t="shared" si="2"/>
        <v>29329.761876154007</v>
      </c>
      <c r="G22" s="3">
        <f t="shared" si="3"/>
        <v>534887.32692049816</v>
      </c>
      <c r="H22" s="3">
        <f>G22*IF(B22&lt;Planner!$B$1,Support!$B$5,Support!$B$6)</f>
        <v>32093.23961522989</v>
      </c>
      <c r="I22" s="3">
        <f t="shared" si="0"/>
        <v>0</v>
      </c>
      <c r="J22" s="3">
        <f t="shared" si="4"/>
        <v>596310.32841188204</v>
      </c>
      <c r="K22" s="3">
        <f t="shared" si="5"/>
        <v>61423.001491383882</v>
      </c>
    </row>
    <row r="23" spans="1:11" x14ac:dyDescent="0.35">
      <c r="A23">
        <f t="shared" si="1"/>
        <v>22</v>
      </c>
      <c r="B23">
        <f t="shared" si="1"/>
        <v>56</v>
      </c>
      <c r="C23" s="3">
        <f>IF(B23&lt;Planner!$B$1,C22*(1+Planner!$B$12),0)</f>
        <v>159513.76481283299</v>
      </c>
      <c r="D23" s="9">
        <f>C23*Planner!$B$13</f>
        <v>35093.028258823259</v>
      </c>
      <c r="E23" s="3">
        <f>E22*(1+Planner!$B$11)</f>
        <v>93014.728585474848</v>
      </c>
      <c r="F23" s="3">
        <f t="shared" si="2"/>
        <v>31406.007968534876</v>
      </c>
      <c r="G23" s="3">
        <f t="shared" si="3"/>
        <v>596310.32841188204</v>
      </c>
      <c r="H23" s="3">
        <f>G23*IF(B23&lt;Planner!$B$1,Support!$B$5,Support!$B$6)</f>
        <v>35778.619704712924</v>
      </c>
      <c r="I23" s="3">
        <f t="shared" si="0"/>
        <v>0</v>
      </c>
      <c r="J23" s="3">
        <f t="shared" si="4"/>
        <v>663494.95608512976</v>
      </c>
      <c r="K23" s="3">
        <f t="shared" si="5"/>
        <v>67184.627673247713</v>
      </c>
    </row>
    <row r="24" spans="1:11" x14ac:dyDescent="0.35">
      <c r="A24">
        <f t="shared" si="1"/>
        <v>23</v>
      </c>
      <c r="B24">
        <f t="shared" si="1"/>
        <v>57</v>
      </c>
      <c r="C24" s="3">
        <f>IF(B24&lt;Planner!$B$1,C23*(1+Planner!$B$12),0)</f>
        <v>165894.31540534631</v>
      </c>
      <c r="D24" s="9">
        <f>C24*Planner!$B$13</f>
        <v>36496.749389176191</v>
      </c>
      <c r="E24" s="3">
        <f>E23*(1+Planner!$B$11)</f>
        <v>95805.170443039096</v>
      </c>
      <c r="F24" s="3">
        <f t="shared" si="2"/>
        <v>33592.395573131012</v>
      </c>
      <c r="G24" s="3">
        <f t="shared" si="3"/>
        <v>663494.95608512976</v>
      </c>
      <c r="H24" s="3">
        <f>G24*IF(B24&lt;Planner!$B$1,Support!$B$5,Support!$B$6)</f>
        <v>39809.697365107786</v>
      </c>
      <c r="I24" s="3">
        <f t="shared" si="0"/>
        <v>0</v>
      </c>
      <c r="J24" s="3">
        <f t="shared" si="4"/>
        <v>736897.04902336863</v>
      </c>
      <c r="K24" s="3">
        <f t="shared" si="5"/>
        <v>73402.092938238871</v>
      </c>
    </row>
    <row r="25" spans="1:11" x14ac:dyDescent="0.35">
      <c r="A25">
        <f t="shared" si="1"/>
        <v>24</v>
      </c>
      <c r="B25">
        <f t="shared" si="1"/>
        <v>58</v>
      </c>
      <c r="C25" s="3">
        <f>IF(B25&lt;Planner!$B$1,C24*(1+Planner!$B$12),0)</f>
        <v>172530.08802156016</v>
      </c>
      <c r="D25" s="9">
        <f>C25*Planner!$B$13</f>
        <v>37956.619364743237</v>
      </c>
      <c r="E25" s="3">
        <f>E24*(1+Planner!$B$11)</f>
        <v>98679.325556330266</v>
      </c>
      <c r="F25" s="3">
        <f t="shared" si="2"/>
        <v>35894.143100486661</v>
      </c>
      <c r="G25" s="3">
        <f t="shared" si="3"/>
        <v>736897.04902336863</v>
      </c>
      <c r="H25" s="3">
        <f>G25*IF(B25&lt;Planner!$B$1,Support!$B$5,Support!$B$6)</f>
        <v>44213.822941402119</v>
      </c>
      <c r="I25" s="3">
        <f t="shared" si="0"/>
        <v>0</v>
      </c>
      <c r="J25" s="3">
        <f t="shared" si="4"/>
        <v>817005.01506525744</v>
      </c>
      <c r="K25" s="3">
        <f t="shared" si="5"/>
        <v>80107.966041888809</v>
      </c>
    </row>
    <row r="26" spans="1:11" x14ac:dyDescent="0.35">
      <c r="A26">
        <f t="shared" si="1"/>
        <v>25</v>
      </c>
      <c r="B26">
        <f t="shared" si="1"/>
        <v>59</v>
      </c>
      <c r="C26" s="3">
        <f>IF(B26&lt;Planner!$B$1,C25*(1+Planner!$B$12),0)</f>
        <v>179431.29154242258</v>
      </c>
      <c r="D26" s="9">
        <f>C26*Planner!$B$13</f>
        <v>39474.884139332971</v>
      </c>
      <c r="E26" s="3">
        <f>E25*(1+Planner!$B$11)</f>
        <v>101639.70532302017</v>
      </c>
      <c r="F26" s="3">
        <f t="shared" si="2"/>
        <v>38316.70208006943</v>
      </c>
      <c r="G26" s="3">
        <f t="shared" si="3"/>
        <v>817005.01506525744</v>
      </c>
      <c r="H26" s="3">
        <f>G26*IF(B26&lt;Planner!$B$1,Support!$B$5,Support!$B$6)</f>
        <v>49020.300903915442</v>
      </c>
      <c r="I26" s="3">
        <f t="shared" si="0"/>
        <v>0</v>
      </c>
      <c r="J26" s="3">
        <f t="shared" si="4"/>
        <v>904342.01804924232</v>
      </c>
      <c r="K26" s="3">
        <f t="shared" si="5"/>
        <v>87337.002983984887</v>
      </c>
    </row>
    <row r="27" spans="1:11" x14ac:dyDescent="0.35">
      <c r="A27">
        <f t="shared" si="1"/>
        <v>26</v>
      </c>
      <c r="B27">
        <f t="shared" si="1"/>
        <v>60</v>
      </c>
      <c r="C27" s="3">
        <f>IF(B27&lt;Planner!$B$1,C26*(1+Planner!$B$12),0)</f>
        <v>186608.54320411949</v>
      </c>
      <c r="D27" s="9">
        <f>C27*Planner!$B$13</f>
        <v>41053.87950490629</v>
      </c>
      <c r="E27" s="3">
        <f>E26*(1+Planner!$B$11)</f>
        <v>104688.89648271078</v>
      </c>
      <c r="F27" s="3">
        <f t="shared" si="2"/>
        <v>40865.767216502398</v>
      </c>
      <c r="G27" s="3">
        <f t="shared" si="3"/>
        <v>904342.01804924232</v>
      </c>
      <c r="H27" s="3">
        <f>G27*IF(B27&lt;Planner!$B$1,Support!$B$5,Support!$B$6)</f>
        <v>54260.521082954539</v>
      </c>
      <c r="I27" s="3">
        <f t="shared" si="0"/>
        <v>0</v>
      </c>
      <c r="J27" s="3">
        <f t="shared" si="4"/>
        <v>999468.30634869938</v>
      </c>
      <c r="K27" s="3">
        <f t="shared" si="5"/>
        <v>95126.288299457054</v>
      </c>
    </row>
    <row r="28" spans="1:11" x14ac:dyDescent="0.35">
      <c r="A28">
        <f t="shared" si="1"/>
        <v>27</v>
      </c>
      <c r="B28">
        <f t="shared" si="1"/>
        <v>61</v>
      </c>
      <c r="C28" s="3">
        <f>IF(B28&lt;Planner!$B$1,C27*(1+Planner!$B$12),0)</f>
        <v>194072.88493228427</v>
      </c>
      <c r="D28" s="9">
        <f>C28*Planner!$B$13</f>
        <v>42696.034685102539</v>
      </c>
      <c r="E28" s="3">
        <f>E27*(1+Planner!$B$11)</f>
        <v>107829.56337719211</v>
      </c>
      <c r="F28" s="3">
        <f t="shared" si="2"/>
        <v>43547.286869989606</v>
      </c>
      <c r="G28" s="3">
        <f t="shared" si="3"/>
        <v>999468.30634869938</v>
      </c>
      <c r="H28" s="3">
        <f>G28*IF(B28&lt;Planner!$B$1,Support!$B$5,Support!$B$6)</f>
        <v>59968.098380921962</v>
      </c>
      <c r="I28" s="3">
        <f t="shared" si="0"/>
        <v>0</v>
      </c>
      <c r="J28" s="3">
        <f t="shared" si="4"/>
        <v>1102983.691599611</v>
      </c>
      <c r="K28" s="3">
        <f t="shared" si="5"/>
        <v>103515.38525091158</v>
      </c>
    </row>
    <row r="29" spans="1:11" x14ac:dyDescent="0.35">
      <c r="A29">
        <f t="shared" si="1"/>
        <v>28</v>
      </c>
      <c r="B29">
        <f t="shared" si="1"/>
        <v>62</v>
      </c>
      <c r="C29" s="3">
        <f>IF(B29&lt;Planner!$B$1,C28*(1+Planner!$B$12),0)</f>
        <v>201835.80032957566</v>
      </c>
      <c r="D29" s="9">
        <f>C29*Planner!$B$13</f>
        <v>44403.876072506646</v>
      </c>
      <c r="E29" s="3">
        <f>E28*(1+Planner!$B$11)</f>
        <v>111064.45027850788</v>
      </c>
      <c r="F29" s="3">
        <f t="shared" si="2"/>
        <v>46367.473978561131</v>
      </c>
      <c r="G29" s="3">
        <f t="shared" si="3"/>
        <v>1102983.691599611</v>
      </c>
      <c r="H29" s="3">
        <f>G29*IF(B29&lt;Planner!$B$1,Support!$B$5,Support!$B$6)</f>
        <v>66179.02149597666</v>
      </c>
      <c r="I29" s="3">
        <f t="shared" si="0"/>
        <v>0</v>
      </c>
      <c r="J29" s="3">
        <f t="shared" si="4"/>
        <v>1215530.1870741488</v>
      </c>
      <c r="K29" s="3">
        <f t="shared" si="5"/>
        <v>112546.49547453783</v>
      </c>
    </row>
    <row r="30" spans="1:11" x14ac:dyDescent="0.35">
      <c r="A30">
        <f t="shared" si="1"/>
        <v>29</v>
      </c>
      <c r="B30">
        <f t="shared" si="1"/>
        <v>63</v>
      </c>
      <c r="C30" s="3">
        <f>IF(B30&lt;Planner!$B$1,C29*(1+Planner!$B$12),0)</f>
        <v>209909.23234275871</v>
      </c>
      <c r="D30" s="9">
        <f>C30*Planner!$B$13</f>
        <v>46180.031115406913</v>
      </c>
      <c r="E30" s="3">
        <f>E29*(1+Planner!$B$11)</f>
        <v>114396.38378686312</v>
      </c>
      <c r="F30" s="3">
        <f t="shared" si="2"/>
        <v>49332.817440488667</v>
      </c>
      <c r="G30" s="3">
        <f t="shared" si="3"/>
        <v>1215530.1870741488</v>
      </c>
      <c r="H30" s="3">
        <f>G30*IF(B30&lt;Planner!$B$1,Support!$B$5,Support!$B$6)</f>
        <v>72931.811224448931</v>
      </c>
      <c r="I30" s="3">
        <f t="shared" si="0"/>
        <v>0</v>
      </c>
      <c r="J30" s="3">
        <f t="shared" si="4"/>
        <v>1337794.8157390864</v>
      </c>
      <c r="K30" s="3">
        <f t="shared" si="5"/>
        <v>122264.62866493757</v>
      </c>
    </row>
    <row r="31" spans="1:11" x14ac:dyDescent="0.35">
      <c r="A31">
        <f t="shared" si="1"/>
        <v>30</v>
      </c>
      <c r="B31">
        <f t="shared" si="1"/>
        <v>64</v>
      </c>
      <c r="C31" s="3">
        <f>IF(B31&lt;Planner!$B$1,C30*(1+Planner!$B$12),0)</f>
        <v>218305.60163646907</v>
      </c>
      <c r="D31" s="9">
        <f>C31*Planner!$B$13</f>
        <v>48027.232360023198</v>
      </c>
      <c r="E31" s="3">
        <f>E30*(1+Planner!$B$11)</f>
        <v>117828.27530046902</v>
      </c>
      <c r="F31" s="3">
        <f t="shared" si="2"/>
        <v>52450.093975976866</v>
      </c>
      <c r="G31" s="3">
        <f t="shared" si="3"/>
        <v>1337794.8157390864</v>
      </c>
      <c r="H31" s="3">
        <f>G31*IF(B31&lt;Planner!$B$1,Support!$B$5,Support!$B$6)</f>
        <v>80267.68894434518</v>
      </c>
      <c r="I31" s="3">
        <f t="shared" si="0"/>
        <v>0</v>
      </c>
      <c r="J31" s="3">
        <f t="shared" si="4"/>
        <v>1470512.5986594083</v>
      </c>
      <c r="K31" s="3">
        <f t="shared" si="5"/>
        <v>132717.78292032192</v>
      </c>
    </row>
    <row r="32" spans="1:11" x14ac:dyDescent="0.35">
      <c r="A32">
        <f t="shared" si="1"/>
        <v>31</v>
      </c>
      <c r="B32">
        <f t="shared" si="1"/>
        <v>65</v>
      </c>
      <c r="C32" s="3">
        <f>IF(B32&lt;Planner!$B$1,C31*(1+Planner!$B$12),0)</f>
        <v>0</v>
      </c>
      <c r="D32" s="9">
        <f>C32*Planner!$B$13</f>
        <v>0</v>
      </c>
      <c r="E32" s="3">
        <f>E31*(1+Planner!$B$11)</f>
        <v>121363.12355948309</v>
      </c>
      <c r="F32" s="3">
        <f t="shared" si="2"/>
        <v>-121363.12355948309</v>
      </c>
      <c r="G32" s="3">
        <f t="shared" si="3"/>
        <v>1470512.5986594083</v>
      </c>
      <c r="H32" s="3">
        <f>G32*IF(B32&lt;Planner!$B$1,Support!$B$5,Support!$B$6)</f>
        <v>58820.503946376331</v>
      </c>
      <c r="I32" s="3">
        <f t="shared" si="0"/>
        <v>121363.12355948309</v>
      </c>
      <c r="J32" s="3">
        <f t="shared" si="4"/>
        <v>1407969.9790463015</v>
      </c>
      <c r="K32" s="3">
        <f t="shared" si="5"/>
        <v>-62542.619613106828</v>
      </c>
    </row>
    <row r="33" spans="1:11" x14ac:dyDescent="0.35">
      <c r="A33">
        <f t="shared" si="1"/>
        <v>32</v>
      </c>
      <c r="B33">
        <f t="shared" si="1"/>
        <v>66</v>
      </c>
      <c r="C33" s="3">
        <f>IF(B33&lt;Planner!$B$1,C32*(1+Planner!$B$12),0)</f>
        <v>0</v>
      </c>
      <c r="D33" s="9">
        <f>C33*Planner!$B$13</f>
        <v>0</v>
      </c>
      <c r="E33" s="3">
        <f>E32*(1+Planner!$B$11)</f>
        <v>125004.01726626759</v>
      </c>
      <c r="F33" s="3">
        <f t="shared" si="2"/>
        <v>-125004.01726626759</v>
      </c>
      <c r="G33" s="3">
        <f t="shared" si="3"/>
        <v>1407969.9790463015</v>
      </c>
      <c r="H33" s="3">
        <f>G33*IF(B33&lt;Planner!$B$1,Support!$B$5,Support!$B$6)</f>
        <v>56318.799161852061</v>
      </c>
      <c r="I33" s="3">
        <f t="shared" si="0"/>
        <v>125004.01726626759</v>
      </c>
      <c r="J33" s="3">
        <f t="shared" si="4"/>
        <v>1339284.7609418859</v>
      </c>
      <c r="K33" s="3">
        <f t="shared" si="5"/>
        <v>-68685.218104415573</v>
      </c>
    </row>
    <row r="34" spans="1:11" x14ac:dyDescent="0.35">
      <c r="A34">
        <f t="shared" si="1"/>
        <v>33</v>
      </c>
      <c r="B34">
        <f t="shared" si="1"/>
        <v>67</v>
      </c>
      <c r="C34" s="3">
        <f>IF(B34&lt;Planner!$B$1,C33*(1+Planner!$B$12),0)</f>
        <v>0</v>
      </c>
      <c r="D34" s="9">
        <f>C34*Planner!$B$13</f>
        <v>0</v>
      </c>
      <c r="E34" s="3">
        <f>E33*(1+Planner!$B$11)</f>
        <v>128754.13778425562</v>
      </c>
      <c r="F34" s="3">
        <f t="shared" si="2"/>
        <v>-128754.13778425562</v>
      </c>
      <c r="G34" s="3">
        <f t="shared" si="3"/>
        <v>1339284.7609418859</v>
      </c>
      <c r="H34" s="3">
        <f>G34*IF(B34&lt;Planner!$B$1,Support!$B$5,Support!$B$6)</f>
        <v>53571.390437675436</v>
      </c>
      <c r="I34" s="3">
        <f t="shared" si="0"/>
        <v>128754.13778425562</v>
      </c>
      <c r="J34" s="3">
        <f t="shared" si="4"/>
        <v>1264102.0135953056</v>
      </c>
      <c r="K34" s="3">
        <f t="shared" si="5"/>
        <v>-75182.747346580261</v>
      </c>
    </row>
    <row r="35" spans="1:11" x14ac:dyDescent="0.35">
      <c r="A35">
        <f t="shared" si="1"/>
        <v>34</v>
      </c>
      <c r="B35">
        <f t="shared" si="1"/>
        <v>68</v>
      </c>
      <c r="C35" s="3">
        <f>IF(B35&lt;Planner!$B$1,C34*(1+Planner!$B$12),0)</f>
        <v>0</v>
      </c>
      <c r="D35" s="9">
        <f>C35*Planner!$B$13</f>
        <v>0</v>
      </c>
      <c r="E35" s="3">
        <f>E34*(1+Planner!$B$11)</f>
        <v>132616.7619177833</v>
      </c>
      <c r="F35" s="3">
        <f t="shared" si="2"/>
        <v>-132616.7619177833</v>
      </c>
      <c r="G35" s="3">
        <f t="shared" si="3"/>
        <v>1264102.0135953056</v>
      </c>
      <c r="H35" s="3">
        <f>G35*IF(B35&lt;Planner!$B$1,Support!$B$5,Support!$B$6)</f>
        <v>50564.080543812226</v>
      </c>
      <c r="I35" s="3">
        <f t="shared" si="0"/>
        <v>132616.7619177833</v>
      </c>
      <c r="J35" s="3">
        <f t="shared" si="4"/>
        <v>1182049.3322213343</v>
      </c>
      <c r="K35" s="3">
        <f t="shared" si="5"/>
        <v>-82052.681373971282</v>
      </c>
    </row>
    <row r="36" spans="1:11" x14ac:dyDescent="0.35">
      <c r="A36">
        <f t="shared" si="1"/>
        <v>35</v>
      </c>
      <c r="B36">
        <f t="shared" si="1"/>
        <v>69</v>
      </c>
      <c r="C36" s="3">
        <f>IF(B36&lt;Planner!$B$1,C35*(1+Planner!$B$12),0)</f>
        <v>0</v>
      </c>
      <c r="D36" s="9">
        <f>C36*Planner!$B$13</f>
        <v>0</v>
      </c>
      <c r="E36" s="3">
        <f>E35*(1+Planner!$B$11)</f>
        <v>136595.26477531681</v>
      </c>
      <c r="F36" s="3">
        <f t="shared" si="2"/>
        <v>-136595.26477531681</v>
      </c>
      <c r="G36" s="3">
        <f t="shared" si="3"/>
        <v>1182049.3322213343</v>
      </c>
      <c r="H36" s="3">
        <f>G36*IF(B36&lt;Planner!$B$1,Support!$B$5,Support!$B$6)</f>
        <v>47281.973288853376</v>
      </c>
      <c r="I36" s="3">
        <f t="shared" si="0"/>
        <v>136595.26477531681</v>
      </c>
      <c r="J36" s="3">
        <f t="shared" si="4"/>
        <v>1092736.0407348708</v>
      </c>
      <c r="K36" s="3">
        <f t="shared" si="5"/>
        <v>-89313.29148646351</v>
      </c>
    </row>
    <row r="37" spans="1:11" x14ac:dyDescent="0.35">
      <c r="A37">
        <f t="shared" si="1"/>
        <v>36</v>
      </c>
      <c r="B37">
        <f t="shared" si="1"/>
        <v>70</v>
      </c>
      <c r="C37" s="3">
        <f>IF(B37&lt;Planner!$B$1,C36*(1+Planner!$B$12),0)</f>
        <v>0</v>
      </c>
      <c r="D37" s="9">
        <f>C37*Planner!$B$13</f>
        <v>0</v>
      </c>
      <c r="E37" s="3">
        <f>E36*(1+Planner!$B$11)</f>
        <v>140693.12271857631</v>
      </c>
      <c r="F37" s="3">
        <f t="shared" si="2"/>
        <v>-140693.12271857631</v>
      </c>
      <c r="G37" s="3">
        <f t="shared" si="3"/>
        <v>1092736.0407348708</v>
      </c>
      <c r="H37" s="3">
        <f>G37*IF(B37&lt;Planner!$B$1,Support!$B$5,Support!$B$6)</f>
        <v>43709.441629394831</v>
      </c>
      <c r="I37" s="3">
        <f t="shared" si="0"/>
        <v>140693.12271857631</v>
      </c>
      <c r="J37" s="3">
        <f t="shared" si="4"/>
        <v>995752.35964568937</v>
      </c>
      <c r="K37" s="3">
        <f t="shared" si="5"/>
        <v>-96983.681089181453</v>
      </c>
    </row>
    <row r="38" spans="1:11" x14ac:dyDescent="0.35">
      <c r="A38">
        <f t="shared" si="1"/>
        <v>37</v>
      </c>
      <c r="B38">
        <f t="shared" si="1"/>
        <v>71</v>
      </c>
      <c r="C38" s="3">
        <f>IF(B38&lt;Planner!$B$1,C37*(1+Planner!$B$12),0)</f>
        <v>0</v>
      </c>
      <c r="D38" s="9">
        <f>C38*Planner!$B$13</f>
        <v>0</v>
      </c>
      <c r="E38" s="3">
        <f>E37*(1+Planner!$B$11)</f>
        <v>144913.9164001336</v>
      </c>
      <c r="F38" s="3">
        <f t="shared" si="2"/>
        <v>-144913.9164001336</v>
      </c>
      <c r="G38" s="3">
        <f t="shared" si="3"/>
        <v>995752.35964568937</v>
      </c>
      <c r="H38" s="3">
        <f>G38*IF(B38&lt;Planner!$B$1,Support!$B$5,Support!$B$6)</f>
        <v>39830.094385827579</v>
      </c>
      <c r="I38" s="3">
        <f t="shared" si="0"/>
        <v>144913.9164001336</v>
      </c>
      <c r="J38" s="3">
        <f t="shared" si="4"/>
        <v>890668.53763138328</v>
      </c>
      <c r="K38" s="3">
        <f t="shared" si="5"/>
        <v>-105083.82201430609</v>
      </c>
    </row>
    <row r="39" spans="1:11" x14ac:dyDescent="0.35">
      <c r="A39">
        <f t="shared" si="1"/>
        <v>38</v>
      </c>
      <c r="B39">
        <f t="shared" si="1"/>
        <v>72</v>
      </c>
      <c r="C39" s="3">
        <f>IF(B39&lt;Planner!$B$1,C38*(1+Planner!$B$12),0)</f>
        <v>0</v>
      </c>
      <c r="D39" s="9">
        <f>C39*Planner!$B$13</f>
        <v>0</v>
      </c>
      <c r="E39" s="3">
        <f>E38*(1+Planner!$B$11)</f>
        <v>149261.33389213763</v>
      </c>
      <c r="F39" s="3">
        <f t="shared" si="2"/>
        <v>-149261.33389213763</v>
      </c>
      <c r="G39" s="3">
        <f t="shared" si="3"/>
        <v>890668.53763138328</v>
      </c>
      <c r="H39" s="3">
        <f>G39*IF(B39&lt;Planner!$B$1,Support!$B$5,Support!$B$6)</f>
        <v>35626.741505255333</v>
      </c>
      <c r="I39" s="3">
        <f t="shared" si="0"/>
        <v>149261.33389213763</v>
      </c>
      <c r="J39" s="3">
        <f t="shared" si="4"/>
        <v>777033.945244501</v>
      </c>
      <c r="K39" s="3">
        <f t="shared" si="5"/>
        <v>-113634.59238688229</v>
      </c>
    </row>
    <row r="40" spans="1:11" x14ac:dyDescent="0.35">
      <c r="A40">
        <f t="shared" si="1"/>
        <v>39</v>
      </c>
      <c r="B40">
        <f t="shared" si="1"/>
        <v>73</v>
      </c>
      <c r="C40" s="3">
        <f>IF(B40&lt;Planner!$B$1,C39*(1+Planner!$B$12),0)</f>
        <v>0</v>
      </c>
      <c r="D40" s="9">
        <f>C40*Planner!$B$13</f>
        <v>0</v>
      </c>
      <c r="E40" s="3">
        <f>E39*(1+Planner!$B$11)</f>
        <v>153739.17390890175</v>
      </c>
      <c r="F40" s="3">
        <f t="shared" si="2"/>
        <v>-153739.17390890175</v>
      </c>
      <c r="G40" s="3">
        <f t="shared" si="3"/>
        <v>777033.945244501</v>
      </c>
      <c r="H40" s="3">
        <f>G40*IF(B40&lt;Planner!$B$1,Support!$B$5,Support!$B$6)</f>
        <v>31081.357809780042</v>
      </c>
      <c r="I40" s="3">
        <f t="shared" si="0"/>
        <v>153739.17390890175</v>
      </c>
      <c r="J40" s="3">
        <f t="shared" si="4"/>
        <v>654376.12914537929</v>
      </c>
      <c r="K40" s="3">
        <f t="shared" si="5"/>
        <v>-122657.8160991217</v>
      </c>
    </row>
    <row r="41" spans="1:11" x14ac:dyDescent="0.35">
      <c r="A41">
        <f t="shared" si="1"/>
        <v>40</v>
      </c>
      <c r="B41">
        <f t="shared" si="1"/>
        <v>74</v>
      </c>
      <c r="C41" s="3">
        <f>IF(B41&lt;Planner!$B$1,C40*(1+Planner!$B$12),0)</f>
        <v>0</v>
      </c>
      <c r="D41" s="9">
        <f>C41*Planner!$B$13</f>
        <v>0</v>
      </c>
      <c r="E41" s="3">
        <f>E40*(1+Planner!$B$11)</f>
        <v>158351.34912616882</v>
      </c>
      <c r="F41" s="3">
        <f t="shared" si="2"/>
        <v>-158351.34912616882</v>
      </c>
      <c r="G41" s="3">
        <f t="shared" si="3"/>
        <v>654376.12914537929</v>
      </c>
      <c r="H41" s="3">
        <f>G41*IF(B41&lt;Planner!$B$1,Support!$B$5,Support!$B$6)</f>
        <v>26175.045165815172</v>
      </c>
      <c r="I41" s="3">
        <f t="shared" si="0"/>
        <v>158351.34912616882</v>
      </c>
      <c r="J41" s="3">
        <f t="shared" si="4"/>
        <v>522199.82518502563</v>
      </c>
      <c r="K41" s="3">
        <f t="shared" si="5"/>
        <v>-132176.30396035366</v>
      </c>
    </row>
    <row r="42" spans="1:11" x14ac:dyDescent="0.35">
      <c r="A42">
        <f t="shared" si="1"/>
        <v>41</v>
      </c>
      <c r="B42">
        <f t="shared" si="1"/>
        <v>75</v>
      </c>
      <c r="C42" s="3">
        <f>IF(B42&lt;Planner!$B$1,C41*(1+Planner!$B$12),0)</f>
        <v>0</v>
      </c>
      <c r="D42" s="9">
        <f>C42*Planner!$B$13</f>
        <v>0</v>
      </c>
      <c r="E42" s="3">
        <f>E41*(1+Planner!$B$11)</f>
        <v>163101.88959995389</v>
      </c>
      <c r="F42" s="3">
        <f t="shared" si="2"/>
        <v>-163101.88959995389</v>
      </c>
      <c r="G42" s="3">
        <f t="shared" si="3"/>
        <v>522199.82518502563</v>
      </c>
      <c r="H42" s="3">
        <f>G42*IF(B42&lt;Planner!$B$1,Support!$B$5,Support!$B$6)</f>
        <v>20887.993007401026</v>
      </c>
      <c r="I42" s="3">
        <f t="shared" si="0"/>
        <v>163101.88959995389</v>
      </c>
      <c r="J42" s="3">
        <f t="shared" si="4"/>
        <v>379985.9285924728</v>
      </c>
      <c r="K42" s="3">
        <f t="shared" si="5"/>
        <v>-142213.89659255283</v>
      </c>
    </row>
    <row r="43" spans="1:11" x14ac:dyDescent="0.35">
      <c r="A43">
        <f t="shared" si="1"/>
        <v>42</v>
      </c>
      <c r="B43">
        <f t="shared" si="1"/>
        <v>76</v>
      </c>
      <c r="C43" s="3">
        <f>IF(B43&lt;Planner!$B$1,C42*(1+Planner!$B$12),0)</f>
        <v>0</v>
      </c>
      <c r="D43" s="9">
        <f>C43*Planner!$B$13</f>
        <v>0</v>
      </c>
      <c r="E43" s="3">
        <f>E42*(1+Planner!$B$11)</f>
        <v>167994.94628795251</v>
      </c>
      <c r="F43" s="3">
        <f t="shared" si="2"/>
        <v>-167994.94628795251</v>
      </c>
      <c r="G43" s="3">
        <f t="shared" si="3"/>
        <v>379985.9285924728</v>
      </c>
      <c r="H43" s="3">
        <f>G43*IF(B43&lt;Planner!$B$1,Support!$B$5,Support!$B$6)</f>
        <v>15199.437143698913</v>
      </c>
      <c r="I43" s="3">
        <f t="shared" si="0"/>
        <v>167994.94628795251</v>
      </c>
      <c r="J43" s="3">
        <f t="shared" si="4"/>
        <v>227190.41944821921</v>
      </c>
      <c r="K43" s="3">
        <f t="shared" si="5"/>
        <v>-152795.50914425359</v>
      </c>
    </row>
    <row r="44" spans="1:11" x14ac:dyDescent="0.35">
      <c r="A44">
        <f t="shared" si="1"/>
        <v>43</v>
      </c>
      <c r="B44">
        <f t="shared" si="1"/>
        <v>77</v>
      </c>
      <c r="C44" s="3">
        <f>IF(B44&lt;Planner!$B$1,C43*(1+Planner!$B$12),0)</f>
        <v>0</v>
      </c>
      <c r="D44" s="9">
        <f>C44*Planner!$B$13</f>
        <v>0</v>
      </c>
      <c r="E44" s="3">
        <f>E43*(1+Planner!$B$11)</f>
        <v>173034.79467659109</v>
      </c>
      <c r="F44" s="3">
        <f t="shared" si="2"/>
        <v>-173034.79467659109</v>
      </c>
      <c r="G44" s="3">
        <f t="shared" si="3"/>
        <v>227190.41944821921</v>
      </c>
      <c r="H44" s="3">
        <f>G44*IF(B44&lt;Planner!$B$1,Support!$B$5,Support!$B$6)</f>
        <v>9087.616777928768</v>
      </c>
      <c r="I44" s="3">
        <f t="shared" si="0"/>
        <v>173034.79467659109</v>
      </c>
      <c r="J44" s="3">
        <f t="shared" si="4"/>
        <v>63243.2415495569</v>
      </c>
      <c r="K44" s="3">
        <f t="shared" si="5"/>
        <v>-163947.17789866231</v>
      </c>
    </row>
    <row r="45" spans="1:11" x14ac:dyDescent="0.35">
      <c r="A45">
        <f t="shared" si="1"/>
        <v>44</v>
      </c>
      <c r="B45">
        <f t="shared" si="1"/>
        <v>78</v>
      </c>
      <c r="C45" s="3">
        <f>IF(B45&lt;Planner!$B$1,C44*(1+Planner!$B$12),0)</f>
        <v>0</v>
      </c>
      <c r="D45" s="9">
        <f>C45*Planner!$B$13</f>
        <v>0</v>
      </c>
      <c r="E45" s="3">
        <f>E44*(1+Planner!$B$11)</f>
        <v>178225.83851688882</v>
      </c>
      <c r="F45" s="3">
        <f t="shared" si="2"/>
        <v>-178225.83851688882</v>
      </c>
      <c r="G45" s="3">
        <f t="shared" si="3"/>
        <v>63243.2415495569</v>
      </c>
      <c r="H45" s="3">
        <f>G45*IF(B45&lt;Planner!$B$1,Support!$B$5,Support!$B$6)</f>
        <v>2529.729661982276</v>
      </c>
      <c r="I45" s="3">
        <f t="shared" si="0"/>
        <v>178225.83851688882</v>
      </c>
      <c r="J45" s="3">
        <f t="shared" si="4"/>
        <v>-112452.86730534965</v>
      </c>
      <c r="K45" s="3">
        <f t="shared" si="5"/>
        <v>-175696.10885490655</v>
      </c>
    </row>
    <row r="46" spans="1:11" x14ac:dyDescent="0.35">
      <c r="A46">
        <f t="shared" si="1"/>
        <v>45</v>
      </c>
      <c r="B46">
        <f t="shared" si="1"/>
        <v>79</v>
      </c>
      <c r="C46" s="3">
        <f>IF(B46&lt;Planner!$B$1,C45*(1+Planner!$B$12),0)</f>
        <v>0</v>
      </c>
      <c r="D46" s="9">
        <f>C46*Planner!$B$13</f>
        <v>0</v>
      </c>
      <c r="E46" s="3">
        <f>E45*(1+Planner!$B$11)</f>
        <v>183572.6136723955</v>
      </c>
      <c r="F46" s="3">
        <f t="shared" si="2"/>
        <v>-183572.6136723955</v>
      </c>
      <c r="G46" s="3">
        <f t="shared" si="3"/>
        <v>-112452.86730534965</v>
      </c>
      <c r="H46" s="3">
        <f>G46*IF(B46&lt;Planner!$B$1,Support!$B$5,Support!$B$6)</f>
        <v>-4498.114692213986</v>
      </c>
      <c r="I46" s="3">
        <f t="shared" si="0"/>
        <v>183572.6136723955</v>
      </c>
      <c r="J46" s="3">
        <f t="shared" si="4"/>
        <v>-300523.59566995915</v>
      </c>
      <c r="K46" s="3">
        <f t="shared" si="5"/>
        <v>-188070.7283646095</v>
      </c>
    </row>
    <row r="47" spans="1:11" x14ac:dyDescent="0.35">
      <c r="A47">
        <f t="shared" si="1"/>
        <v>46</v>
      </c>
      <c r="B47">
        <f t="shared" si="1"/>
        <v>80</v>
      </c>
      <c r="C47" s="3">
        <f>IF(B47&lt;Planner!$B$1,C46*(1+Planner!$B$12),0)</f>
        <v>0</v>
      </c>
      <c r="D47" s="9">
        <f>C47*Planner!$B$13</f>
        <v>0</v>
      </c>
      <c r="E47" s="3">
        <f>E46*(1+Planner!$B$11)</f>
        <v>189079.79208256738</v>
      </c>
      <c r="F47" s="3">
        <f t="shared" si="2"/>
        <v>-189079.79208256738</v>
      </c>
      <c r="G47" s="3">
        <f t="shared" si="3"/>
        <v>-300523.59566995915</v>
      </c>
      <c r="H47" s="3">
        <f>G47*IF(B47&lt;Planner!$B$1,Support!$B$5,Support!$B$6)</f>
        <v>-12020.943826798366</v>
      </c>
      <c r="I47" s="3">
        <f t="shared" si="0"/>
        <v>189079.79208256738</v>
      </c>
      <c r="J47" s="3">
        <f t="shared" si="4"/>
        <v>-501624.33157932491</v>
      </c>
      <c r="K47" s="3">
        <f t="shared" si="5"/>
        <v>-201100.73590936576</v>
      </c>
    </row>
    <row r="48" spans="1:11" x14ac:dyDescent="0.35">
      <c r="A48">
        <f t="shared" si="1"/>
        <v>47</v>
      </c>
      <c r="B48">
        <f t="shared" si="1"/>
        <v>81</v>
      </c>
      <c r="C48" s="3">
        <f>IF(B48&lt;Planner!$B$1,C47*(1+Planner!$B$12),0)</f>
        <v>0</v>
      </c>
      <c r="D48" s="9">
        <f>C48*Planner!$B$13</f>
        <v>0</v>
      </c>
      <c r="E48" s="3">
        <f>E47*(1+Planner!$B$11)</f>
        <v>194752.18584504441</v>
      </c>
      <c r="F48" s="3">
        <f t="shared" si="2"/>
        <v>-194752.18584504441</v>
      </c>
      <c r="G48" s="3">
        <f t="shared" si="3"/>
        <v>-501624.33157932491</v>
      </c>
      <c r="H48" s="3">
        <f>G48*IF(B48&lt;Planner!$B$1,Support!$B$5,Support!$B$6)</f>
        <v>-20064.973263172997</v>
      </c>
      <c r="I48" s="3">
        <f t="shared" si="0"/>
        <v>194752.18584504441</v>
      </c>
      <c r="J48" s="3">
        <f t="shared" si="4"/>
        <v>-716441.49068754236</v>
      </c>
      <c r="K48" s="3">
        <f t="shared" si="5"/>
        <v>-214817.15910821746</v>
      </c>
    </row>
    <row r="49" spans="1:11" x14ac:dyDescent="0.35">
      <c r="A49">
        <f t="shared" si="1"/>
        <v>48</v>
      </c>
      <c r="B49">
        <f t="shared" si="1"/>
        <v>82</v>
      </c>
      <c r="C49" s="3">
        <f>IF(B49&lt;Planner!$B$1,C48*(1+Planner!$B$12),0)</f>
        <v>0</v>
      </c>
      <c r="D49" s="9">
        <f>C49*Planner!$B$13</f>
        <v>0</v>
      </c>
      <c r="E49" s="3">
        <f>E48*(1+Planner!$B$11)</f>
        <v>200594.75142039574</v>
      </c>
      <c r="F49" s="3">
        <f t="shared" si="2"/>
        <v>-200594.75142039574</v>
      </c>
      <c r="G49" s="3">
        <f t="shared" si="3"/>
        <v>-716441.49068754236</v>
      </c>
      <c r="H49" s="3">
        <f>G49*IF(B49&lt;Planner!$B$1,Support!$B$5,Support!$B$6)</f>
        <v>-28657.659627501696</v>
      </c>
      <c r="I49" s="3">
        <f t="shared" si="0"/>
        <v>200594.75142039574</v>
      </c>
      <c r="J49" s="3">
        <f t="shared" si="4"/>
        <v>-945693.9017354399</v>
      </c>
      <c r="K49" s="3">
        <f t="shared" si="5"/>
        <v>-229252.41104789753</v>
      </c>
    </row>
    <row r="50" spans="1:11" x14ac:dyDescent="0.35">
      <c r="A50">
        <f t="shared" si="1"/>
        <v>49</v>
      </c>
      <c r="B50">
        <f t="shared" si="1"/>
        <v>83</v>
      </c>
      <c r="C50" s="3">
        <f>IF(B50&lt;Planner!$B$1,C49*(1+Planner!$B$12),0)</f>
        <v>0</v>
      </c>
      <c r="D50" s="9">
        <f>C50*Planner!$B$13</f>
        <v>0</v>
      </c>
      <c r="E50" s="3">
        <f>E49*(1+Planner!$B$11)</f>
        <v>206612.59396300762</v>
      </c>
      <c r="F50" s="3">
        <f t="shared" si="2"/>
        <v>-206612.59396300762</v>
      </c>
      <c r="G50" s="3">
        <f t="shared" si="3"/>
        <v>-945693.9017354399</v>
      </c>
      <c r="H50" s="3">
        <f>G50*IF(B50&lt;Planner!$B$1,Support!$B$5,Support!$B$6)</f>
        <v>-37827.756069417599</v>
      </c>
      <c r="I50" s="3">
        <f t="shared" si="0"/>
        <v>206612.59396300762</v>
      </c>
      <c r="J50" s="3">
        <f t="shared" si="4"/>
        <v>-1190134.2517678651</v>
      </c>
      <c r="K50" s="3">
        <f t="shared" si="5"/>
        <v>-244440.35003242525</v>
      </c>
    </row>
    <row r="51" spans="1:11" x14ac:dyDescent="0.35">
      <c r="A51">
        <f t="shared" si="1"/>
        <v>50</v>
      </c>
      <c r="B51">
        <f t="shared" si="1"/>
        <v>84</v>
      </c>
      <c r="C51" s="3">
        <f>IF(B51&lt;Planner!$B$1,C50*(1+Planner!$B$12),0)</f>
        <v>0</v>
      </c>
      <c r="D51" s="9">
        <f>C51*Planner!$B$13</f>
        <v>0</v>
      </c>
      <c r="E51" s="3">
        <f>E50*(1+Planner!$B$11)</f>
        <v>212810.97178189785</v>
      </c>
      <c r="F51" s="3">
        <f t="shared" si="2"/>
        <v>-212810.97178189785</v>
      </c>
      <c r="G51" s="3">
        <f t="shared" si="3"/>
        <v>-1190134.2517678651</v>
      </c>
      <c r="H51" s="3">
        <f>G51*IF(B51&lt;Planner!$B$1,Support!$B$5,Support!$B$6)</f>
        <v>-47605.370070714605</v>
      </c>
      <c r="I51" s="3">
        <f t="shared" si="0"/>
        <v>212810.97178189785</v>
      </c>
      <c r="J51" s="3">
        <f t="shared" si="4"/>
        <v>-1450550.5936204775</v>
      </c>
      <c r="K51" s="3">
        <f t="shared" si="5"/>
        <v>-260416.34185261233</v>
      </c>
    </row>
    <row r="52" spans="1:11" x14ac:dyDescent="0.35">
      <c r="A52">
        <f t="shared" si="1"/>
        <v>51</v>
      </c>
      <c r="B52">
        <f t="shared" si="1"/>
        <v>85</v>
      </c>
      <c r="C52" s="3">
        <f>IF(B52&lt;Planner!$B$1,C51*(1+Planner!$B$12),0)</f>
        <v>0</v>
      </c>
      <c r="D52" s="9">
        <f>C52*Planner!$B$13</f>
        <v>0</v>
      </c>
      <c r="E52" s="3">
        <f>E51*(1+Planner!$B$11)</f>
        <v>219195.30093535478</v>
      </c>
      <c r="F52" s="3">
        <f t="shared" si="2"/>
        <v>-219195.30093535478</v>
      </c>
      <c r="G52" s="3">
        <f t="shared" si="3"/>
        <v>-1450550.5936204775</v>
      </c>
      <c r="H52" s="3">
        <f>G52*IF(B52&lt;Planner!$B$1,Support!$B$5,Support!$B$6)</f>
        <v>-58022.023744819104</v>
      </c>
      <c r="I52" s="3">
        <f t="shared" si="0"/>
        <v>219195.30093535478</v>
      </c>
      <c r="J52" s="3">
        <f t="shared" si="4"/>
        <v>-1727767.9183006512</v>
      </c>
      <c r="K52" s="3">
        <f t="shared" si="5"/>
        <v>-277217.32468017377</v>
      </c>
    </row>
    <row r="53" spans="1:11" x14ac:dyDescent="0.35">
      <c r="A53">
        <f t="shared" si="1"/>
        <v>52</v>
      </c>
      <c r="B53">
        <f t="shared" si="1"/>
        <v>86</v>
      </c>
      <c r="C53" s="3">
        <f>IF(B53&lt;Planner!$B$1,C52*(1+Planner!$B$12),0)</f>
        <v>0</v>
      </c>
      <c r="D53" s="9">
        <f>C53*Planner!$B$13</f>
        <v>0</v>
      </c>
      <c r="E53" s="3">
        <f>E52*(1+Planner!$B$11)</f>
        <v>225771.15996341544</v>
      </c>
      <c r="F53" s="3">
        <f t="shared" si="2"/>
        <v>-225771.15996341544</v>
      </c>
      <c r="G53" s="3">
        <f t="shared" si="3"/>
        <v>-1727767.9183006512</v>
      </c>
      <c r="H53" s="3">
        <f>G53*IF(B53&lt;Planner!$B$1,Support!$B$5,Support!$B$6)</f>
        <v>-69110.716732026049</v>
      </c>
      <c r="I53" s="3">
        <f t="shared" si="0"/>
        <v>225771.15996341544</v>
      </c>
      <c r="J53" s="3">
        <f t="shared" si="4"/>
        <v>-2022649.7949960928</v>
      </c>
      <c r="K53" s="3">
        <f t="shared" si="5"/>
        <v>-294881.87669544155</v>
      </c>
    </row>
    <row r="54" spans="1:11" x14ac:dyDescent="0.35">
      <c r="A54">
        <f t="shared" si="1"/>
        <v>53</v>
      </c>
      <c r="B54">
        <f t="shared" si="1"/>
        <v>87</v>
      </c>
      <c r="C54" s="3">
        <f>IF(B54&lt;Planner!$B$1,C53*(1+Planner!$B$12),0)</f>
        <v>0</v>
      </c>
      <c r="D54" s="9">
        <f>C54*Planner!$B$13</f>
        <v>0</v>
      </c>
      <c r="E54" s="3">
        <f>E53*(1+Planner!$B$11)</f>
        <v>232544.29476231791</v>
      </c>
      <c r="F54" s="3">
        <f t="shared" si="2"/>
        <v>-232544.29476231791</v>
      </c>
      <c r="G54" s="3">
        <f t="shared" si="3"/>
        <v>-2022649.7949960928</v>
      </c>
      <c r="H54" s="3">
        <f>G54*IF(B54&lt;Planner!$B$1,Support!$B$5,Support!$B$6)</f>
        <v>-80905.991799843716</v>
      </c>
      <c r="I54" s="3">
        <f t="shared" si="0"/>
        <v>232544.29476231791</v>
      </c>
      <c r="J54" s="3">
        <f t="shared" si="4"/>
        <v>-2336100.0815582545</v>
      </c>
      <c r="K54" s="3">
        <f t="shared" si="5"/>
        <v>-313450.28656216175</v>
      </c>
    </row>
    <row r="55" spans="1:11" x14ac:dyDescent="0.35">
      <c r="A55">
        <f t="shared" si="1"/>
        <v>54</v>
      </c>
      <c r="B55">
        <f t="shared" si="1"/>
        <v>88</v>
      </c>
      <c r="C55" s="3">
        <f>IF(B55&lt;Planner!$B$1,C54*(1+Planner!$B$12),0)</f>
        <v>0</v>
      </c>
      <c r="D55" s="9">
        <f>C55*Planner!$B$13</f>
        <v>0</v>
      </c>
      <c r="E55" s="3">
        <f>E54*(1+Planner!$B$11)</f>
        <v>239520.62360518746</v>
      </c>
      <c r="F55" s="3">
        <f t="shared" si="2"/>
        <v>-239520.62360518746</v>
      </c>
      <c r="G55" s="3">
        <f t="shared" si="3"/>
        <v>-2336100.0815582545</v>
      </c>
      <c r="H55" s="3">
        <f>G55*IF(B55&lt;Planner!$B$1,Support!$B$5,Support!$B$6)</f>
        <v>-93444.003262330181</v>
      </c>
      <c r="I55" s="3">
        <f t="shared" si="0"/>
        <v>239520.62360518746</v>
      </c>
      <c r="J55" s="3">
        <f t="shared" si="4"/>
        <v>-2669064.7084257724</v>
      </c>
      <c r="K55" s="3">
        <f t="shared" si="5"/>
        <v>-332964.62686751783</v>
      </c>
    </row>
    <row r="56" spans="1:11" x14ac:dyDescent="0.35">
      <c r="A56">
        <f t="shared" si="1"/>
        <v>55</v>
      </c>
      <c r="B56">
        <f t="shared" si="1"/>
        <v>89</v>
      </c>
      <c r="C56" s="3">
        <f>IF(B56&lt;Planner!$B$1,C55*(1+Planner!$B$12),0)</f>
        <v>0</v>
      </c>
      <c r="D56" s="9">
        <f>C56*Planner!$B$13</f>
        <v>0</v>
      </c>
      <c r="E56" s="3">
        <f>E55*(1+Planner!$B$11)</f>
        <v>246706.2423133431</v>
      </c>
      <c r="F56" s="3">
        <f t="shared" si="2"/>
        <v>-246706.2423133431</v>
      </c>
      <c r="G56" s="3">
        <f t="shared" si="3"/>
        <v>-2669064.7084257724</v>
      </c>
      <c r="H56" s="3">
        <f>G56*IF(B56&lt;Planner!$B$1,Support!$B$5,Support!$B$6)</f>
        <v>-106762.5883370309</v>
      </c>
      <c r="I56" s="3">
        <f t="shared" si="0"/>
        <v>246706.2423133431</v>
      </c>
      <c r="J56" s="3">
        <f t="shared" si="4"/>
        <v>-3022533.5390761462</v>
      </c>
      <c r="K56" s="3">
        <f t="shared" si="5"/>
        <v>-353468.83065037383</v>
      </c>
    </row>
    <row r="57" spans="1:11" x14ac:dyDescent="0.35">
      <c r="A57">
        <f t="shared" si="1"/>
        <v>56</v>
      </c>
      <c r="B57">
        <f t="shared" si="1"/>
        <v>90</v>
      </c>
      <c r="C57" s="3">
        <f>IF(B57&lt;Planner!$B$1,C56*(1+Planner!$B$12),0)</f>
        <v>0</v>
      </c>
      <c r="D57" s="9">
        <f>C57*Planner!$B$13</f>
        <v>0</v>
      </c>
      <c r="E57" s="3">
        <f>E56*(1+Planner!$B$11)</f>
        <v>254107.42958274341</v>
      </c>
      <c r="F57" s="3">
        <f t="shared" si="2"/>
        <v>-254107.42958274341</v>
      </c>
      <c r="G57" s="3">
        <f t="shared" si="3"/>
        <v>-3022533.5390761462</v>
      </c>
      <c r="H57" s="3">
        <f>G57*IF(B57&lt;Planner!$B$1,Support!$B$5,Support!$B$6)</f>
        <v>-120901.34156304585</v>
      </c>
      <c r="I57" s="3">
        <f t="shared" si="0"/>
        <v>254107.42958274341</v>
      </c>
      <c r="J57" s="3">
        <f t="shared" si="4"/>
        <v>-3397542.3102219356</v>
      </c>
      <c r="K57" s="3">
        <f t="shared" si="5"/>
        <v>-375008.77114578942</v>
      </c>
    </row>
    <row r="58" spans="1:11" x14ac:dyDescent="0.35">
      <c r="A58">
        <f t="shared" si="1"/>
        <v>57</v>
      </c>
      <c r="B58">
        <f t="shared" si="1"/>
        <v>91</v>
      </c>
      <c r="C58" s="3">
        <f>IF(B58&lt;Planner!$B$1,C57*(1+Planner!$B$12),0)</f>
        <v>0</v>
      </c>
      <c r="D58" s="9">
        <f>C58*Planner!$B$13</f>
        <v>0</v>
      </c>
      <c r="E58" s="3">
        <f>E57*(1+Planner!$B$11)</f>
        <v>261730.65247022573</v>
      </c>
      <c r="F58" s="3">
        <f t="shared" si="2"/>
        <v>-261730.65247022573</v>
      </c>
      <c r="G58" s="3">
        <f t="shared" si="3"/>
        <v>-3397542.3102219356</v>
      </c>
      <c r="H58" s="3">
        <f>G58*IF(B58&lt;Planner!$B$1,Support!$B$5,Support!$B$6)</f>
        <v>-135901.69240887742</v>
      </c>
      <c r="I58" s="3">
        <f t="shared" si="0"/>
        <v>261730.65247022573</v>
      </c>
      <c r="J58" s="3">
        <f t="shared" si="4"/>
        <v>-3795174.655101039</v>
      </c>
      <c r="K58" s="3">
        <f t="shared" si="5"/>
        <v>-397632.34487910336</v>
      </c>
    </row>
    <row r="59" spans="1:11" x14ac:dyDescent="0.35">
      <c r="A59">
        <f t="shared" si="1"/>
        <v>58</v>
      </c>
      <c r="B59">
        <f t="shared" si="1"/>
        <v>92</v>
      </c>
      <c r="C59" s="3">
        <f>IF(B59&lt;Planner!$B$1,C58*(1+Planner!$B$12),0)</f>
        <v>0</v>
      </c>
      <c r="D59" s="9">
        <f>C59*Planner!$B$13</f>
        <v>0</v>
      </c>
      <c r="E59" s="3">
        <f>E58*(1+Planner!$B$11)</f>
        <v>269582.57204433251</v>
      </c>
      <c r="F59" s="3">
        <f t="shared" si="2"/>
        <v>-269582.57204433251</v>
      </c>
      <c r="G59" s="3">
        <f t="shared" si="3"/>
        <v>-3795174.655101039</v>
      </c>
      <c r="H59" s="3">
        <f>G59*IF(B59&lt;Planner!$B$1,Support!$B$5,Support!$B$6)</f>
        <v>-151806.98620404158</v>
      </c>
      <c r="I59" s="3">
        <f t="shared" si="0"/>
        <v>269582.57204433251</v>
      </c>
      <c r="J59" s="3">
        <f t="shared" si="4"/>
        <v>-4216564.2133494131</v>
      </c>
      <c r="K59" s="3">
        <f t="shared" si="5"/>
        <v>-421389.55824837415</v>
      </c>
    </row>
    <row r="60" spans="1:11" x14ac:dyDescent="0.35">
      <c r="A60">
        <f t="shared" si="1"/>
        <v>59</v>
      </c>
      <c r="B60">
        <f t="shared" si="1"/>
        <v>93</v>
      </c>
      <c r="C60" s="3">
        <f>IF(B60&lt;Planner!$B$1,C59*(1+Planner!$B$12),0)</f>
        <v>0</v>
      </c>
      <c r="D60" s="9">
        <f>C60*Planner!$B$13</f>
        <v>0</v>
      </c>
      <c r="E60" s="3">
        <f>E59*(1+Planner!$B$11)</f>
        <v>277670.04920566251</v>
      </c>
      <c r="F60" s="3">
        <f t="shared" si="2"/>
        <v>-277670.04920566251</v>
      </c>
      <c r="G60" s="3">
        <f t="shared" si="3"/>
        <v>-4216564.2133494131</v>
      </c>
      <c r="H60" s="3">
        <f>G60*IF(B60&lt;Planner!$B$1,Support!$B$5,Support!$B$6)</f>
        <v>-168662.56853397653</v>
      </c>
      <c r="I60" s="3">
        <f t="shared" si="0"/>
        <v>277670.04920566251</v>
      </c>
      <c r="J60" s="3">
        <f t="shared" si="4"/>
        <v>-4662896.8310890524</v>
      </c>
      <c r="K60" s="3">
        <f t="shared" si="5"/>
        <v>-446332.61773963924</v>
      </c>
    </row>
    <row r="61" spans="1:11" x14ac:dyDescent="0.35">
      <c r="A61">
        <f t="shared" si="1"/>
        <v>60</v>
      </c>
      <c r="B61">
        <f t="shared" si="1"/>
        <v>94</v>
      </c>
      <c r="C61" s="3">
        <f>IF(B61&lt;Planner!$B$1,C60*(1+Planner!$B$12),0)</f>
        <v>0</v>
      </c>
      <c r="D61" s="9">
        <f>C61*Planner!$B$13</f>
        <v>0</v>
      </c>
      <c r="E61" s="3">
        <f>E60*(1+Planner!$B$11)</f>
        <v>286000.1506818324</v>
      </c>
      <c r="F61" s="3">
        <f t="shared" si="2"/>
        <v>-286000.1506818324</v>
      </c>
      <c r="G61" s="3">
        <f t="shared" si="3"/>
        <v>-4662896.8310890524</v>
      </c>
      <c r="H61" s="3">
        <f>G61*IF(B61&lt;Planner!$B$1,Support!$B$5,Support!$B$6)</f>
        <v>-186515.87324356209</v>
      </c>
      <c r="I61" s="3">
        <f t="shared" si="0"/>
        <v>286000.1506818324</v>
      </c>
      <c r="J61" s="3">
        <f t="shared" si="4"/>
        <v>-5135412.8550144471</v>
      </c>
      <c r="K61" s="3">
        <f t="shared" si="5"/>
        <v>-472516.02392539475</v>
      </c>
    </row>
    <row r="62" spans="1:11" x14ac:dyDescent="0.35">
      <c r="A62">
        <f t="shared" si="1"/>
        <v>61</v>
      </c>
      <c r="B62">
        <f t="shared" si="1"/>
        <v>95</v>
      </c>
      <c r="C62" s="3">
        <f>IF(B62&lt;Planner!$B$1,C61*(1+Planner!$B$12),0)</f>
        <v>0</v>
      </c>
      <c r="D62" s="9">
        <f>C62*Planner!$B$13</f>
        <v>0</v>
      </c>
      <c r="E62" s="3">
        <f>E61*(1+Planner!$B$11)</f>
        <v>294580.15520228737</v>
      </c>
      <c r="F62" s="3">
        <f t="shared" si="2"/>
        <v>-294580.15520228737</v>
      </c>
      <c r="G62" s="3">
        <f t="shared" si="3"/>
        <v>-5135412.8550144471</v>
      </c>
      <c r="H62" s="3">
        <f>G62*IF(B62&lt;Planner!$B$1,Support!$B$5,Support!$B$6)</f>
        <v>-205416.51420057789</v>
      </c>
      <c r="I62" s="3">
        <f t="shared" si="0"/>
        <v>294580.15520228737</v>
      </c>
      <c r="J62" s="3">
        <f t="shared" si="4"/>
        <v>-5635409.5244173119</v>
      </c>
      <c r="K62" s="3">
        <f t="shared" si="5"/>
        <v>-499996.66940286476</v>
      </c>
    </row>
    <row r="63" spans="1:11" x14ac:dyDescent="0.35">
      <c r="A63">
        <f t="shared" si="1"/>
        <v>62</v>
      </c>
      <c r="B63">
        <f t="shared" si="1"/>
        <v>96</v>
      </c>
      <c r="C63" s="3">
        <f>IF(B63&lt;Planner!$B$1,C62*(1+Planner!$B$12),0)</f>
        <v>0</v>
      </c>
      <c r="D63" s="9">
        <f>C63*Planner!$B$13</f>
        <v>0</v>
      </c>
      <c r="E63" s="3">
        <f>E62*(1+Planner!$B$11)</f>
        <v>303417.55985835602</v>
      </c>
      <c r="F63" s="3">
        <f t="shared" si="2"/>
        <v>-303417.55985835602</v>
      </c>
      <c r="G63" s="3">
        <f t="shared" si="3"/>
        <v>-5635409.5244173119</v>
      </c>
      <c r="H63" s="3">
        <f>G63*IF(B63&lt;Planner!$B$1,Support!$B$5,Support!$B$6)</f>
        <v>-225416.38097669248</v>
      </c>
      <c r="I63" s="3">
        <f t="shared" si="0"/>
        <v>303417.55985835602</v>
      </c>
      <c r="J63" s="3">
        <f t="shared" si="4"/>
        <v>-6164243.4652523603</v>
      </c>
      <c r="K63" s="3">
        <f t="shared" si="5"/>
        <v>-528833.94083504844</v>
      </c>
    </row>
    <row r="64" spans="1:11" x14ac:dyDescent="0.35">
      <c r="A64">
        <f t="shared" si="1"/>
        <v>63</v>
      </c>
      <c r="B64">
        <f t="shared" si="1"/>
        <v>97</v>
      </c>
      <c r="C64" s="3">
        <f>IF(B64&lt;Planner!$B$1,C63*(1+Planner!$B$12),0)</f>
        <v>0</v>
      </c>
      <c r="D64" s="9">
        <f>C64*Planner!$B$13</f>
        <v>0</v>
      </c>
      <c r="E64" s="3">
        <f>E63*(1+Planner!$B$11)</f>
        <v>312520.08665410674</v>
      </c>
      <c r="F64" s="3">
        <f t="shared" si="2"/>
        <v>-312520.08665410674</v>
      </c>
      <c r="G64" s="3">
        <f t="shared" si="3"/>
        <v>-6164243.4652523603</v>
      </c>
      <c r="H64" s="3">
        <f>G64*IF(B64&lt;Planner!$B$1,Support!$B$5,Support!$B$6)</f>
        <v>-246569.73861009441</v>
      </c>
      <c r="I64" s="3">
        <f t="shared" si="0"/>
        <v>312520.08665410674</v>
      </c>
      <c r="J64" s="3">
        <f t="shared" si="4"/>
        <v>-6723333.2905165618</v>
      </c>
      <c r="K64" s="3">
        <f t="shared" si="5"/>
        <v>-559089.8252642015</v>
      </c>
    </row>
    <row r="65" spans="1:11" x14ac:dyDescent="0.35">
      <c r="A65">
        <f t="shared" si="1"/>
        <v>64</v>
      </c>
      <c r="B65">
        <f t="shared" si="1"/>
        <v>98</v>
      </c>
      <c r="C65" s="3">
        <f>IF(B65&lt;Planner!$B$1,C64*(1+Planner!$B$12),0)</f>
        <v>0</v>
      </c>
      <c r="D65" s="9">
        <f>C65*Planner!$B$13</f>
        <v>0</v>
      </c>
      <c r="E65" s="3">
        <f>E64*(1+Planner!$B$11)</f>
        <v>321895.68925372994</v>
      </c>
      <c r="F65" s="3">
        <f t="shared" si="2"/>
        <v>-321895.68925372994</v>
      </c>
      <c r="G65" s="3">
        <f t="shared" si="3"/>
        <v>-6723333.2905165618</v>
      </c>
      <c r="H65" s="3">
        <f>G65*IF(B65&lt;Planner!$B$1,Support!$B$5,Support!$B$6)</f>
        <v>-268933.33162066247</v>
      </c>
      <c r="I65" s="3">
        <f t="shared" si="0"/>
        <v>321895.68925372994</v>
      </c>
      <c r="J65" s="3">
        <f t="shared" si="4"/>
        <v>-7314162.3113909541</v>
      </c>
      <c r="K65" s="3">
        <f t="shared" si="5"/>
        <v>-590829.02087439224</v>
      </c>
    </row>
    <row r="66" spans="1:11" x14ac:dyDescent="0.35">
      <c r="A66">
        <f t="shared" si="1"/>
        <v>65</v>
      </c>
      <c r="B66">
        <f t="shared" si="1"/>
        <v>99</v>
      </c>
      <c r="C66" s="3">
        <f>IF(B66&lt;Planner!$B$1,C65*(1+Planner!$B$12),0)</f>
        <v>0</v>
      </c>
      <c r="D66" s="9">
        <f>C66*Planner!$B$13</f>
        <v>0</v>
      </c>
      <c r="E66" s="3">
        <f>E65*(1+Planner!$B$11)</f>
        <v>331552.55993134185</v>
      </c>
      <c r="F66" s="3">
        <f t="shared" si="2"/>
        <v>-331552.55993134185</v>
      </c>
      <c r="G66" s="3">
        <f t="shared" si="3"/>
        <v>-7314162.3113909541</v>
      </c>
      <c r="H66" s="3">
        <f>G66*IF(B66&lt;Planner!$B$1,Support!$B$5,Support!$B$6)</f>
        <v>-292566.49245563819</v>
      </c>
      <c r="I66" s="3">
        <f t="shared" si="0"/>
        <v>331552.55993134185</v>
      </c>
      <c r="J66" s="3">
        <f t="shared" si="4"/>
        <v>-7938281.3637779336</v>
      </c>
      <c r="K66" s="3">
        <f t="shared" si="5"/>
        <v>-624119.05238697957</v>
      </c>
    </row>
    <row r="67" spans="1:11" x14ac:dyDescent="0.35">
      <c r="A67">
        <f t="shared" si="1"/>
        <v>66</v>
      </c>
      <c r="B67">
        <f t="shared" si="1"/>
        <v>100</v>
      </c>
      <c r="C67" s="3">
        <f>IF(B67&lt;Planner!$B$1,C66*(1+Planner!$B$12),0)</f>
        <v>0</v>
      </c>
      <c r="D67" s="9">
        <f>C67*Planner!$B$13</f>
        <v>0</v>
      </c>
      <c r="E67" s="3">
        <f>E66*(1+Planner!$B$11)</f>
        <v>341499.13672928209</v>
      </c>
      <c r="F67" s="3">
        <f t="shared" si="2"/>
        <v>-341499.13672928209</v>
      </c>
      <c r="G67" s="3">
        <f t="shared" si="3"/>
        <v>-7938281.3637779336</v>
      </c>
      <c r="H67" s="3">
        <f>G67*IF(B67&lt;Planner!$B$1,Support!$B$5,Support!$B$6)</f>
        <v>-317531.25455111737</v>
      </c>
      <c r="I67" s="3">
        <f t="shared" ref="I67" si="6">MAX(0,-F67)</f>
        <v>341499.13672928209</v>
      </c>
      <c r="J67" s="3">
        <f t="shared" si="4"/>
        <v>-8597311.7550583333</v>
      </c>
      <c r="K67" s="3">
        <f t="shared" si="5"/>
        <v>-659030.39128039964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B59BFB-6FA8-45A1-B6F4-710DDCF00A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Planner</vt:lpstr>
      <vt:lpstr>Calculations</vt:lpstr>
      <vt:lpstr>Support</vt:lpstr>
      <vt:lpstr>Detail</vt:lpstr>
      <vt:lpstr>CurrentAge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Cuzick</dc:creator>
  <cp:lastModifiedBy>Christopher dameron dameron</cp:lastModifiedBy>
  <dcterms:created xsi:type="dcterms:W3CDTF">2015-06-05T18:17:20Z</dcterms:created>
  <dcterms:modified xsi:type="dcterms:W3CDTF">2026-10-10T14:04:51Z</dcterms:modified>
</cp:coreProperties>
</file>